
<file path=[Content_Types].xml><?xml version="1.0" encoding="utf-8"?>
<Types xmlns="http://schemas.openxmlformats.org/package/2006/content-types">
  <Default Extension="bin" ContentType="application/vnd.openxmlformats-officedocument.spreadsheetml.printerSettings"/>
  <Default Extension="tmp"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5" yWindow="225" windowWidth="13530" windowHeight="11835" tabRatio="744" activeTab="4"/>
  </bookViews>
  <sheets>
    <sheet name="Read me" sheetId="7" r:id="rId1"/>
    <sheet name="Prop_Ref" sheetId="8" r:id="rId2"/>
    <sheet name="Organisationnelle" sheetId="3" r:id="rId3"/>
    <sheet name="Fonctionnelle" sheetId="5" r:id="rId4"/>
    <sheet name="UI" sheetId="16" r:id="rId5"/>
    <sheet name="Technique" sheetId="4" r:id="rId6"/>
    <sheet name="Contrainte" sheetId="6" r:id="rId7"/>
    <sheet name="Synthèse" sheetId="9" state="hidden" r:id="rId8"/>
    <sheet name="Historique Statistiques " sheetId="12" r:id="rId9"/>
    <sheet name="Paramètres" sheetId="2" state="hidden" r:id="rId10"/>
    <sheet name="Historique du modèle" sheetId="13" state="hidden" r:id="rId11"/>
  </sheets>
  <definedNames>
    <definedName name="_xlnm._FilterDatabase" localSheetId="3" hidden="1">Fonctionnelle!$A$5:$Q$66</definedName>
    <definedName name="_xlnm._FilterDatabase" localSheetId="2" hidden="1">Organisationnelle!$B$7:$Q$27</definedName>
    <definedName name="_xlnm._FilterDatabase" localSheetId="9" hidden="1">Paramètres!$H$2:$H$5</definedName>
    <definedName name="_xlnm._FilterDatabase" localSheetId="5" hidden="1">Technique!$A$7:$S$59</definedName>
    <definedName name="_xlnm._FilterDatabase" localSheetId="4" hidden="1">UI!$A$7:$S$32</definedName>
    <definedName name="Atraiter">Paramètres!$G$2:$G$4</definedName>
    <definedName name="cdc_exig" localSheetId="6">Contrainte!$P$7</definedName>
    <definedName name="cdc_exig" localSheetId="3">Fonctionnelle!$P$7</definedName>
    <definedName name="cdc_exig" localSheetId="2">Organisationnelle!$P$7</definedName>
    <definedName name="cdc_exig" localSheetId="5">Technique!$P$7</definedName>
    <definedName name="cdc_exig" localSheetId="4">UI!#REF!</definedName>
    <definedName name="conf_exig" localSheetId="6">Contrainte!$M$7</definedName>
    <definedName name="conf_exig" localSheetId="3">Fonctionnelle!$M$7</definedName>
    <definedName name="conf_exig" localSheetId="2">Organisationnelle!$M$7</definedName>
    <definedName name="conf_exig" localSheetId="5">Technique!$M$7</definedName>
    <definedName name="conf_exig" localSheetId="4">UI!#REF!</definedName>
    <definedName name="Conformité">Paramètres!$D$2:$D$5</definedName>
    <definedName name="copy_cell">'Historique Statistiques '!$C$6:$C$11</definedName>
    <definedName name="copy_row">Synthèse!$1:$1</definedName>
    <definedName name="deb_tb">'Historique Statistiques '!$B$6</definedName>
    <definedName name="Etape">Paramètres!$F$2:$F$4</definedName>
    <definedName name="Etat">Paramètres!$E$2:$E$6</definedName>
    <definedName name="id_exig" localSheetId="6">Contrainte!$B$7</definedName>
    <definedName name="id_exig" localSheetId="3">Fonctionnelle!$B$7</definedName>
    <definedName name="id_exig" localSheetId="2">Organisationnelle!$B$7</definedName>
    <definedName name="id_exig" localSheetId="5">Technique!$B$7</definedName>
    <definedName name="id_exig" localSheetId="4">UI!#REF!</definedName>
    <definedName name="just_exig" localSheetId="6">Contrainte!$N$7</definedName>
    <definedName name="just_exig" localSheetId="3">Fonctionnelle!$N$7</definedName>
    <definedName name="just_exig" localSheetId="2">Organisationnelle!$N$7</definedName>
    <definedName name="just_exig" localSheetId="5">Technique!$N$7</definedName>
    <definedName name="just_exig" localSheetId="4">UI!#REF!</definedName>
    <definedName name="lib_exig" localSheetId="6">Contrainte!$C$7</definedName>
    <definedName name="lib_exig" localSheetId="3">Fonctionnelle!$C$7</definedName>
    <definedName name="lib_exig" localSheetId="2">Organisationnelle!$C$7</definedName>
    <definedName name="lib_exig" localSheetId="5">Technique!$C$7</definedName>
    <definedName name="lib_exig" localSheetId="4">UI!#REF!</definedName>
    <definedName name="Priorité">Paramètres!$C$2:$C$5</definedName>
    <definedName name="ptc_exig" localSheetId="6">Contrainte!$O$7</definedName>
    <definedName name="ptc_exig" localSheetId="3">Fonctionnelle!$O$7</definedName>
    <definedName name="ptc_exig" localSheetId="2">Organisationnelle!$O$7</definedName>
    <definedName name="ptc_exig" localSheetId="5">Technique!$O$7</definedName>
    <definedName name="ptc_exig" localSheetId="4">UI!#REF!</definedName>
    <definedName name="Référence" localSheetId="4">Paramètres!#REF!</definedName>
    <definedName name="Référence">Paramètres!#REF!</definedName>
    <definedName name="Statut">Paramètres!$F$2:$F$6</definedName>
    <definedName name="syn_cdc_exig">Synthèse!$C$4</definedName>
    <definedName name="syn_conf_exig">Synthèse!$D$4</definedName>
    <definedName name="syn_id_exig">Synthèse!$A$4</definedName>
    <definedName name="syn_just_exig">Synthèse!$E$4</definedName>
    <definedName name="syn_lib_exig">Synthèse!$B$4</definedName>
    <definedName name="syn_ptc_exig">Synthèse!$F$4</definedName>
    <definedName name="Type">Paramètres!$B$2:$B$6</definedName>
    <definedName name="Validation">Paramètres!$H$2:$H$5</definedName>
    <definedName name="_xlnm.Print_Area" localSheetId="6">Contrainte!$A:$Q</definedName>
    <definedName name="_xlnm.Print_Area" localSheetId="3">Fonctionnelle!$A:$Q</definedName>
    <definedName name="_xlnm.Print_Area" localSheetId="2">Organisationnelle!$A:$Q</definedName>
    <definedName name="_xlnm.Print_Area" localSheetId="1">Prop_Ref!$B$1:$E$26</definedName>
    <definedName name="_xlnm.Print_Area" localSheetId="0">'Read me'!$A$1:$C$31</definedName>
    <definedName name="_xlnm.Print_Area" localSheetId="7">Synthèse!$A:$F</definedName>
    <definedName name="_xlnm.Print_Area" localSheetId="5">Technique!$A:$Q</definedName>
    <definedName name="_xlnm.Print_Area" localSheetId="4">UI!$A:$Q</definedName>
  </definedNames>
  <calcPr calcId="145621"/>
</workbook>
</file>

<file path=xl/calcChain.xml><?xml version="1.0" encoding="utf-8"?>
<calcChain xmlns="http://schemas.openxmlformats.org/spreadsheetml/2006/main">
  <c r="A10" i="4" l="1"/>
  <c r="A11" i="4"/>
  <c r="A12" i="4"/>
  <c r="C9" i="12" l="1"/>
  <c r="C10" i="12"/>
  <c r="C8" i="12"/>
  <c r="C7" i="12"/>
  <c r="A9" i="16"/>
  <c r="A11" i="16" s="1"/>
  <c r="A14" i="16" s="1"/>
  <c r="A16" i="16" s="1"/>
  <c r="A17" i="16" s="1"/>
  <c r="A18" i="16" s="1"/>
  <c r="A19" i="16" s="1"/>
  <c r="A20" i="16" s="1"/>
  <c r="A21" i="16" s="1"/>
  <c r="A22" i="16" s="1"/>
  <c r="A23" i="16" s="1"/>
  <c r="A24" i="16" s="1"/>
  <c r="A28" i="16" s="1"/>
  <c r="A30" i="16" s="1"/>
  <c r="A31" i="16" s="1"/>
  <c r="A15" i="4"/>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15" i="5"/>
  <c r="A16" i="5" s="1"/>
  <c r="A17" i="5" s="1"/>
  <c r="A18" i="5" s="1"/>
  <c r="A19" i="5" s="1"/>
  <c r="A20" i="5" s="1"/>
  <c r="A21" i="5" s="1"/>
  <c r="A22" i="5" s="1"/>
  <c r="A23" i="5" s="1"/>
  <c r="A24" i="5" s="1"/>
  <c r="A25" i="5" s="1"/>
  <c r="A26" i="5" s="1"/>
  <c r="A27" i="5" s="1"/>
  <c r="A28" i="5" s="1"/>
  <c r="A29" i="5" s="1"/>
  <c r="A30" i="5" s="1"/>
  <c r="A31" i="5" s="1"/>
  <c r="A32" i="5" s="1"/>
  <c r="C6" i="16"/>
  <c r="B6" i="16"/>
  <c r="D5" i="8"/>
  <c r="C9" i="8" s="1"/>
  <c r="C6" i="5"/>
  <c r="B6" i="5"/>
  <c r="C6" i="3"/>
  <c r="B6" i="3"/>
  <c r="A9" i="6"/>
  <c r="A10" i="6" s="1"/>
  <c r="A11" i="6" s="1"/>
  <c r="A13" i="6"/>
  <c r="A14" i="6" s="1"/>
  <c r="A15" i="6" s="1"/>
  <c r="A16" i="6" s="1"/>
  <c r="A17" i="6" s="1"/>
  <c r="A18" i="6" s="1"/>
  <c r="A19" i="6" s="1"/>
  <c r="A20" i="6" s="1"/>
  <c r="A21" i="6" s="1"/>
  <c r="A22" i="6" s="1"/>
  <c r="A23" i="6" s="1"/>
  <c r="A24" i="6" s="1"/>
  <c r="A25" i="6" s="1"/>
  <c r="A26" i="6" s="1"/>
  <c r="A12" i="3"/>
  <c r="A13" i="3"/>
  <c r="A14" i="3"/>
  <c r="A15" i="3"/>
  <c r="A16" i="3"/>
  <c r="A17" i="3"/>
  <c r="A18" i="3"/>
  <c r="A19" i="3"/>
  <c r="A20" i="3"/>
  <c r="A21" i="3"/>
  <c r="A22" i="3"/>
  <c r="A23" i="3"/>
  <c r="A24" i="3"/>
  <c r="A25" i="3"/>
  <c r="A26" i="3"/>
  <c r="A27" i="3"/>
  <c r="C6" i="6"/>
  <c r="B6" i="6"/>
  <c r="C6" i="4"/>
  <c r="B6" i="4"/>
  <c r="D6" i="3"/>
  <c r="D6" i="4" l="1"/>
  <c r="D6" i="6"/>
  <c r="A35" i="5"/>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3" i="5" s="1"/>
  <c r="A64" i="5" s="1"/>
  <c r="A65" i="5" s="1"/>
  <c r="A66" i="5" s="1"/>
  <c r="A33" i="5"/>
  <c r="A34" i="5" s="1"/>
  <c r="D6" i="5"/>
  <c r="D6" i="16"/>
  <c r="C11" i="12"/>
  <c r="A62" i="5" l="1"/>
</calcChain>
</file>

<file path=xl/comments1.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R_ORGA_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2.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3.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R_TECH_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4.xml><?xml version="1.0" encoding="utf-8"?>
<comments xmlns="http://schemas.openxmlformats.org/spreadsheetml/2006/main">
  <authors>
    <author>Christian Chesnel</author>
    <author>claire</author>
    <author>npn</author>
    <author>BRUNET CARTEAUX Marie</author>
  </authors>
  <commentList>
    <comment ref="B7" authorId="0">
      <text>
        <r>
          <rPr>
            <sz val="10"/>
            <color indexed="81"/>
            <rFont val="Arial"/>
            <family val="2"/>
          </rPr>
          <t xml:space="preserve">Identifiant créé à partir du préfixe R_TECH_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 ref="C8" authorId="3">
      <text>
        <r>
          <rPr>
            <b/>
            <sz val="9"/>
            <color indexed="81"/>
            <rFont val="Tahoma"/>
            <family val="2"/>
          </rPr>
          <t>BRUNET CARTEAUX Marie:</t>
        </r>
        <r>
          <rPr>
            <sz val="9"/>
            <color indexed="81"/>
            <rFont val="Tahoma"/>
            <family val="2"/>
          </rPr>
          <t xml:space="preserve">
A verifier
</t>
        </r>
      </text>
    </comment>
    <comment ref="C10" authorId="3">
      <text>
        <r>
          <rPr>
            <b/>
            <sz val="9"/>
            <color indexed="81"/>
            <rFont val="Tahoma"/>
            <family val="2"/>
          </rPr>
          <t>BRUNET CARTEAUX Marie:</t>
        </r>
        <r>
          <rPr>
            <sz val="9"/>
            <color indexed="81"/>
            <rFont val="Tahoma"/>
            <family val="2"/>
          </rPr>
          <t xml:space="preserve">
Mal formulé, à revoir quand t'auras + d'inspi
</t>
        </r>
      </text>
    </comment>
  </commentList>
</comments>
</file>

<file path=xl/comments5.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R_CONT_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sharedStrings.xml><?xml version="1.0" encoding="utf-8"?>
<sst xmlns="http://schemas.openxmlformats.org/spreadsheetml/2006/main" count="410" uniqueCount="271">
  <si>
    <t>Il s'agit des caractéristiques qualité du produit et des exigences opérationnelles sur le produit.</t>
  </si>
  <si>
    <r>
      <t>1 – Les caractéristiques qualité du produit</t>
    </r>
    <r>
      <rPr>
        <sz val="10"/>
        <rFont val="Arial"/>
        <family val="2"/>
      </rPr>
      <t xml:space="preserve">
- </t>
    </r>
    <r>
      <rPr>
        <b/>
        <sz val="10"/>
        <color indexed="12"/>
        <rFont val="Arial"/>
        <family val="2"/>
      </rPr>
      <t>Fiabilité</t>
    </r>
    <r>
      <rPr>
        <b/>
        <sz val="10"/>
        <rFont val="Arial"/>
        <family val="2"/>
      </rPr>
      <t xml:space="preserve"> (</t>
    </r>
    <r>
      <rPr>
        <b/>
        <sz val="10"/>
        <color indexed="10"/>
        <rFont val="Arial"/>
        <family val="2"/>
      </rPr>
      <t>Reliability</t>
    </r>
    <r>
      <rPr>
        <b/>
        <sz val="10"/>
        <rFont val="Arial"/>
        <family val="2"/>
      </rPr>
      <t>)</t>
    </r>
    <r>
      <rPr>
        <sz val="10"/>
        <rFont val="Arial"/>
        <family val="2"/>
      </rPr>
      <t xml:space="preserve">  Aptitude du logiciel à maintenir son niveau de service dans des conditions précises et pendant une période déterminée :
   * La maturité,
   * La tolérance aux fautes,
   * La capacité de récupération.
- </t>
    </r>
    <r>
      <rPr>
        <b/>
        <sz val="10"/>
        <color indexed="12"/>
        <rFont val="Arial"/>
        <family val="2"/>
      </rPr>
      <t>Facilité d'utilisation</t>
    </r>
    <r>
      <rPr>
        <b/>
        <sz val="10"/>
        <rFont val="Arial"/>
        <family val="2"/>
      </rPr>
      <t xml:space="preserve"> (Usability)</t>
    </r>
    <r>
      <rPr>
        <sz val="10"/>
        <rFont val="Arial"/>
        <family val="2"/>
      </rPr>
      <t xml:space="preserve">  Effort nécessaire pour l'utilisation et évaluation individuelle de cette utilisation par un ensemble défini ou implicite d'utilisateurs :
   * L'exploitabilité,
   * La facilité d'apprentissage,
   * La facilité de compréhension.
- </t>
    </r>
    <r>
      <rPr>
        <b/>
        <sz val="10"/>
        <color indexed="12"/>
        <rFont val="Arial"/>
        <family val="2"/>
      </rPr>
      <t>Efficacité</t>
    </r>
    <r>
      <rPr>
        <b/>
        <sz val="10"/>
        <rFont val="Arial"/>
        <family val="2"/>
      </rPr>
      <t xml:space="preserve"> (</t>
    </r>
    <r>
      <rPr>
        <b/>
        <sz val="10"/>
        <color indexed="10"/>
        <rFont val="Arial"/>
        <family val="2"/>
      </rPr>
      <t>Efficiency</t>
    </r>
    <r>
      <rPr>
        <b/>
        <sz val="10"/>
        <rFont val="Arial"/>
        <family val="2"/>
      </rPr>
      <t>)</t>
    </r>
    <r>
      <rPr>
        <sz val="10"/>
        <rFont val="Arial"/>
        <family val="2"/>
      </rPr>
      <t xml:space="preserve">  Rapport existant entre le niveau de service d'un logiciel et la quantité de ressources utilisées, dans des conditions déterminées :
   * L'efficacité des ressources employées,
   * L'efficacité des temps de réalisation.
- </t>
    </r>
    <r>
      <rPr>
        <b/>
        <sz val="10"/>
        <color indexed="12"/>
        <rFont val="Arial"/>
        <family val="2"/>
      </rPr>
      <t>Maintenabilité</t>
    </r>
    <r>
      <rPr>
        <b/>
        <sz val="10"/>
        <rFont val="Arial"/>
        <family val="2"/>
      </rPr>
      <t xml:space="preserve"> (</t>
    </r>
    <r>
      <rPr>
        <b/>
        <sz val="10"/>
        <color indexed="10"/>
        <rFont val="Arial"/>
        <family val="2"/>
      </rPr>
      <t>Maintainability</t>
    </r>
    <r>
      <rPr>
        <b/>
        <sz val="10"/>
        <rFont val="Arial"/>
        <family val="2"/>
      </rPr>
      <t xml:space="preserve">) </t>
    </r>
    <r>
      <rPr>
        <sz val="10"/>
        <rFont val="Arial"/>
        <family val="2"/>
      </rPr>
      <t xml:space="preserve"> Effort nécessaire pour faire des modifications données :
   * La stabilité,
   * La facilité de modification,
   * La facilité d'analyse,
   * La facilité à être testé.
-</t>
    </r>
    <r>
      <rPr>
        <b/>
        <sz val="10"/>
        <rFont val="Arial"/>
        <family val="2"/>
      </rPr>
      <t xml:space="preserve"> </t>
    </r>
    <r>
      <rPr>
        <b/>
        <sz val="10"/>
        <color indexed="12"/>
        <rFont val="Arial"/>
        <family val="2"/>
      </rPr>
      <t xml:space="preserve">Portabilité </t>
    </r>
    <r>
      <rPr>
        <b/>
        <sz val="10"/>
        <rFont val="Arial"/>
        <family val="2"/>
      </rPr>
      <t>(</t>
    </r>
    <r>
      <rPr>
        <b/>
        <sz val="10"/>
        <color indexed="10"/>
        <rFont val="Arial"/>
        <family val="2"/>
      </rPr>
      <t>Portability</t>
    </r>
    <r>
      <rPr>
        <b/>
        <sz val="10"/>
        <rFont val="Arial"/>
        <family val="2"/>
      </rPr>
      <t>)</t>
    </r>
    <r>
      <rPr>
        <sz val="10"/>
        <rFont val="Arial"/>
        <family val="2"/>
      </rPr>
      <t xml:space="preserve">  Aptitude du logiciel à être transféré d'un environnement à un autre :
   * La facilité d'installation,
   * La facilité de migration,
   * L'adaptabilité,
   * L'interchangeabilité.
</t>
    </r>
  </si>
  <si>
    <r>
      <t>4 - Les exigences d'exploitation  (exigences opérationnelles sur le produit)</t>
    </r>
    <r>
      <rPr>
        <sz val="10"/>
        <rFont val="Arial"/>
        <family val="2"/>
      </rPr>
      <t xml:space="preserve">
- Les conditions d’installation, de déploiement et de maintenance du logiciel à réaliser.
</t>
    </r>
  </si>
  <si>
    <r>
      <t xml:space="preserve">QUI fait (impact sur l'organisation) , QUAND et COMBIEN (contraintes de réalisation)
</t>
    </r>
    <r>
      <rPr>
        <sz val="10"/>
        <rFont val="Arial"/>
        <family val="2"/>
      </rPr>
      <t>Les exigences organisationnelles couvrent notamment :</t>
    </r>
    <r>
      <rPr>
        <b/>
        <sz val="10"/>
        <rFont val="Arial"/>
        <family val="2"/>
      </rPr>
      <t xml:space="preserve">  </t>
    </r>
    <r>
      <rPr>
        <sz val="10"/>
        <rFont val="Arial"/>
        <family val="2"/>
      </rPr>
      <t xml:space="preserve">
- L'organisation du projet en lots, phases, activités et identification des livrables.
- Les jalons du projet,
- Le choix du cycle de développement : en V, itératif, en cascade, incrémental …
- Les dispositions contractuelles, engagements, clauses affectant l’acquisition des produits sur étagère,
- Les contraintes juridictionnelles : obligations légales, réglementations,
- Le besoin en ressources humaines, 
- Le besoin concernant la fonction IQ du projet,
- L' outillage du projet : réutilisation, acquisition,
- Les exigences sur la formation et le support du produit réalisé.</t>
    </r>
  </si>
  <si>
    <r>
      <t>2 – Les  exigences de performance (exigences opérationnelles sur le produit)</t>
    </r>
    <r>
      <rPr>
        <sz val="10"/>
        <rFont val="Arial"/>
        <family val="2"/>
      </rPr>
      <t xml:space="preserve">
- Temps de réponse,
- Précision des résultats,
- Capacité de traitement d’un volume de données.
</t>
    </r>
  </si>
  <si>
    <r>
      <t>3 - Les exigences de sécurité (exigences opérationnelles sur le produit)</t>
    </r>
    <r>
      <rPr>
        <sz val="10"/>
        <rFont val="Arial"/>
        <family val="2"/>
      </rPr>
      <t xml:space="preserve">
- Authentification,
- Contrôle d’accès,
- Intégrité des données.</t>
    </r>
  </si>
  <si>
    <t>Technique</t>
  </si>
  <si>
    <t>Contraintes</t>
  </si>
  <si>
    <t>Exigences Techniques</t>
  </si>
  <si>
    <t>Exigences liées 
aux contraintes opérationnelles</t>
  </si>
  <si>
    <t>Exigences Organisationnelles /contraintes de réalisation</t>
  </si>
  <si>
    <t>Exigence Organisationnelle /Contrainte de réalisation</t>
  </si>
  <si>
    <t>Exigence de Contrainte opérationnelle</t>
  </si>
  <si>
    <t>Libellé de l'exigence</t>
  </si>
  <si>
    <t>Identifiant unique de l'exigence</t>
  </si>
  <si>
    <t>N° de version de l'exigence</t>
  </si>
  <si>
    <t>essentielle</t>
  </si>
  <si>
    <t>utile</t>
  </si>
  <si>
    <t>souhaitable</t>
  </si>
  <si>
    <t>approuvée</t>
  </si>
  <si>
    <t>rejetée</t>
  </si>
  <si>
    <t>Priorité</t>
  </si>
  <si>
    <t>Etat</t>
  </si>
  <si>
    <t>Fonctionnelle</t>
  </si>
  <si>
    <t>FONC</t>
  </si>
  <si>
    <t>TECH</t>
  </si>
  <si>
    <t>Organisationnelle</t>
  </si>
  <si>
    <t>ORGA</t>
  </si>
  <si>
    <t>CONT</t>
  </si>
  <si>
    <t xml:space="preserve">Type </t>
  </si>
  <si>
    <t>Raison de la modification</t>
  </si>
  <si>
    <t>R_FONC_</t>
  </si>
  <si>
    <t>R_TECH_</t>
  </si>
  <si>
    <t>R_ORGA_</t>
  </si>
  <si>
    <t>Exigence Fonctionnelle</t>
  </si>
  <si>
    <t>R_CONT_QUAL_</t>
  </si>
  <si>
    <t>R_CONT_PERF_</t>
  </si>
  <si>
    <t>R_CONT_SECU_</t>
  </si>
  <si>
    <t>Mots clés</t>
  </si>
  <si>
    <t>Liste à définir pour le projet</t>
  </si>
  <si>
    <t>Exigences Fonctionnelles</t>
  </si>
  <si>
    <t>Caractéristiques</t>
  </si>
  <si>
    <r>
      <t>Liste à compléter pour le projet</t>
    </r>
    <r>
      <rPr>
        <sz val="10"/>
        <rFont val="Arial"/>
        <family val="2"/>
      </rPr>
      <t xml:space="preserve">
Juridique = JUR
Projet = PRJ
Cycle = CYC
Ressources Humaines = RH
……</t>
    </r>
  </si>
  <si>
    <t>Qualité = QUAL</t>
  </si>
  <si>
    <t>Performance = PERF</t>
  </si>
  <si>
    <t>Sécurité = SECU</t>
  </si>
  <si>
    <t>Gestion des versions du référentiel - Gestion des versions des exigences</t>
  </si>
  <si>
    <t>Projet</t>
  </si>
  <si>
    <t>Etape</t>
  </si>
  <si>
    <t>Avant Vente</t>
  </si>
  <si>
    <t>1.00</t>
  </si>
  <si>
    <t>Date</t>
  </si>
  <si>
    <t>Commentaires</t>
  </si>
  <si>
    <t>AV</t>
  </si>
  <si>
    <t>PRJ</t>
  </si>
  <si>
    <t>Version initiale</t>
  </si>
  <si>
    <t>Version du référentiel :</t>
  </si>
  <si>
    <t>Etape :</t>
  </si>
  <si>
    <t>Projet :</t>
  </si>
  <si>
    <t>Historique du référentiel</t>
  </si>
  <si>
    <t>Propriétés du Référentiel</t>
  </si>
  <si>
    <t>Remplir les cellules en bleu</t>
  </si>
  <si>
    <t>A chaque enregistrement du référentiel maintenir à jour le tableau ci-dessous</t>
  </si>
  <si>
    <r>
      <t xml:space="preserve">Bien lire le contenu de la cellule </t>
    </r>
    <r>
      <rPr>
        <b/>
        <sz val="10"/>
        <rFont val="Arial"/>
        <family val="2"/>
      </rPr>
      <t>B18</t>
    </r>
    <r>
      <rPr>
        <sz val="10"/>
        <rFont val="Arial"/>
        <family val="2"/>
      </rPr>
      <t xml:space="preserve"> de la feuille </t>
    </r>
    <r>
      <rPr>
        <sz val="10"/>
        <color indexed="12"/>
        <rFont val="Arial"/>
        <family val="2"/>
      </rPr>
      <t>"Read me"</t>
    </r>
  </si>
  <si>
    <r>
      <t xml:space="preserve">Avant de sauvegarder ce fichier se reporter à la feuille </t>
    </r>
    <r>
      <rPr>
        <b/>
        <sz val="10"/>
        <color indexed="12"/>
        <rFont val="Arial"/>
        <family val="2"/>
      </rPr>
      <t>"Prop_Ref"</t>
    </r>
  </si>
  <si>
    <t>1.04</t>
  </si>
  <si>
    <t>Cahier des charges client</t>
  </si>
  <si>
    <t xml:space="preserve"> </t>
  </si>
  <si>
    <t>Exigence Technique</t>
  </si>
  <si>
    <r>
      <t xml:space="preserve">AVEC QUOI 
</t>
    </r>
    <r>
      <rPr>
        <sz val="10"/>
        <rFont val="Arial"/>
        <family val="2"/>
      </rPr>
      <t>Application des nouvelles technologies à la solution : matériel et logiciel,</t>
    </r>
    <r>
      <rPr>
        <sz val="10"/>
        <rFont val="Arial"/>
        <family val="2"/>
      </rPr>
      <t xml:space="preserve">
Modélisation,
Architecture matérielle et logicielle,
Maturité et évolutivité de la solution,
Interfaces externes et de communication.</t>
    </r>
  </si>
  <si>
    <t>R_CONT_EXPLOIT</t>
  </si>
  <si>
    <t>Exploitation = EXPLOIT</t>
  </si>
  <si>
    <r>
      <t>QUOI  (fonctionnalités, obligations, dépendances) : service rendu par le produit développé</t>
    </r>
    <r>
      <rPr>
        <sz val="10"/>
        <rFont val="Arial"/>
        <family val="2"/>
      </rPr>
      <t xml:space="preserve">
Ensemble de fonctions qui satisfont aux besoins exprimés ou implicites. La définition des fonctions inclut :
- les données d’entrée /sortie (nature des données),
- les algorithmes de traitement (logique de traitement),
- Les interfaces externes (entrées / sorties du système),
- Les fonctions d’interopérabilité avec les systèmes adjacents.</t>
    </r>
  </si>
  <si>
    <t>Cahier des Charges Client</t>
  </si>
  <si>
    <t>Conformité</t>
  </si>
  <si>
    <t>Justification de la conformité</t>
  </si>
  <si>
    <t>Conforme</t>
  </si>
  <si>
    <t>Partiellement conforme</t>
  </si>
  <si>
    <t>Non conforme</t>
  </si>
  <si>
    <t>Total</t>
  </si>
  <si>
    <t>Historique du nombre d'exigences par état</t>
  </si>
  <si>
    <t>Historique des modifications du modèle</t>
  </si>
  <si>
    <t>Version</t>
  </si>
  <si>
    <t>Auteur</t>
  </si>
  <si>
    <t>1.03</t>
  </si>
  <si>
    <t>Création du modèle de référentiel d’exigences</t>
  </si>
  <si>
    <t>Audren Riou/ Nicolas Rosqouët</t>
  </si>
  <si>
    <t>1.01</t>
  </si>
  <si>
    <t>Ajout de l’onglet synthèse</t>
  </si>
  <si>
    <t>Nicole Lesné</t>
  </si>
  <si>
    <t>1.02</t>
  </si>
  <si>
    <t>Compléments de l’onglet synthèse : ajout conformité</t>
  </si>
  <si>
    <t>Ajout des onglets statistiques et historique statistiques</t>
  </si>
  <si>
    <t>Ajout de l'onglet Historique du modèle (onglet masqué)</t>
  </si>
  <si>
    <t>Nbr total d'exigences</t>
  </si>
  <si>
    <t>Nbr d'exigences filtrées</t>
  </si>
  <si>
    <t>Tx filtrées</t>
  </si>
  <si>
    <t>Etat validation</t>
  </si>
  <si>
    <t>à valider</t>
  </si>
  <si>
    <t>validée</t>
  </si>
  <si>
    <t>non validée</t>
  </si>
  <si>
    <t xml:space="preserve">N° de version ou d'itération </t>
  </si>
  <si>
    <t>1.05</t>
  </si>
  <si>
    <t>- ajout d'une ligne de comptage avec formule de filtrage en haut de tableau
- Modification du commentaire de la colonne 'cahier des charges'
- ajout d'une colonne remarque
- ajout colonne 'Etat de validation' + colonne 'Référence validation / DE / RA'
- suppression du type d'exigences stratégique
- ajout colonne pour numéro de version du logiciel ou numéro d"itération</t>
  </si>
  <si>
    <t>1.06</t>
  </si>
  <si>
    <t>1.07</t>
  </si>
  <si>
    <t>Aurélien Aulair /Claire Machot</t>
  </si>
  <si>
    <t xml:space="preserve">en cours </t>
  </si>
  <si>
    <t>Etat de l'exigence</t>
  </si>
  <si>
    <t>1.08</t>
  </si>
  <si>
    <t>Composant</t>
  </si>
  <si>
    <t xml:space="preserve">"Règle Gestion des exigences"
Réf. : QUAL-R2-RE-10  </t>
  </si>
  <si>
    <t>ID des exigences</t>
  </si>
  <si>
    <t>Libellés des exigences</t>
  </si>
  <si>
    <t>Etat exigences</t>
  </si>
  <si>
    <t>nbre actuel</t>
  </si>
  <si>
    <t>- Refonte de la macro Synthèse
- màj onglet read me
- Ajout colonnes "composant"
- Refonte de la macro historique des Statistiques
- Suppression de l'onglet statistique qui est maintenant intégré dans l'onglet "Historique Statistiques"</t>
  </si>
  <si>
    <t>1.10</t>
  </si>
  <si>
    <t>Claire Machot</t>
  </si>
  <si>
    <t>Ajout colonne "exigences liées / dépendances"</t>
  </si>
  <si>
    <t>Exigences liées / Dépendances</t>
  </si>
  <si>
    <t>1.11</t>
  </si>
  <si>
    <t>RT 5194 :modif onglet Prop_Ref pour nommage fichier et suivi des versions</t>
  </si>
  <si>
    <t>Nom de fichier :</t>
  </si>
  <si>
    <t>Version du fichier</t>
  </si>
  <si>
    <t>1.20</t>
  </si>
  <si>
    <t xml:space="preserve">Priorité client </t>
  </si>
  <si>
    <t>Complexité technique</t>
  </si>
  <si>
    <t xml:space="preserve">Priorité technique </t>
  </si>
  <si>
    <t>Remarque / commentaire sur l' exigence</t>
  </si>
  <si>
    <t>PTC</t>
  </si>
  <si>
    <t>- correction du bug si Etat exigences non renseigné et activation macro extraction statistiques: nb d'exigences /état</t>
  </si>
  <si>
    <t>-Prise en compte RT 2193 (bug onglet statistique) et 855 (typo)
-Modification du choix en liste pour les états des exigences</t>
  </si>
  <si>
    <t>Précision sur la notion de priorité client, ajout des notions de priorité et de complexité technique, ajout précision sur l'état d'une exigence. 
suppression des colonnes Etat de validation et Référence validation / DE / RA
Suppression état "vérifié"</t>
  </si>
  <si>
    <t>1.30</t>
  </si>
  <si>
    <t>Arnaud Clech</t>
  </si>
  <si>
    <t>Modification de la liste de valeur pour la colonne Conforme dans les onglets Fonctionnelle et Technique (RT 9908)
Suppression des esperluettes et copyright dans les pieds de page</t>
  </si>
  <si>
    <t>1.40</t>
  </si>
  <si>
    <t>Aurélien Aulair</t>
  </si>
  <si>
    <t>OABisation</t>
  </si>
  <si>
    <t xml:space="preserve">Pour remplir correctement ce document se reporter à la règle disponible sous le référentiel qualité : </t>
  </si>
  <si>
    <r>
      <t xml:space="preserve">Le </t>
    </r>
    <r>
      <rPr>
        <b/>
        <sz val="10"/>
        <color indexed="12"/>
        <rFont val="Arial"/>
        <family val="2"/>
      </rPr>
      <t>référentiel du projet</t>
    </r>
    <r>
      <rPr>
        <sz val="10"/>
        <rFont val="Arial"/>
        <family val="2"/>
      </rPr>
      <t xml:space="preserve"> est géré en configuration sous la forme :
</t>
    </r>
    <r>
      <rPr>
        <i/>
        <sz val="10"/>
        <color indexed="12"/>
        <rFont val="Arial"/>
        <family val="2"/>
      </rPr>
      <t xml:space="preserve">CNT360C1_EXIGENCES_PRJ.xlsm. 
</t>
    </r>
    <r>
      <rPr>
        <sz val="10"/>
        <rFont val="Arial"/>
        <family val="2"/>
      </rPr>
      <t>Le suivi des versions successives du référentiel se fait via l'onglet Prop_Ref de ce fichier. 
De plus,  pour chaque modification de ce référentiel, il est recommandé de faire des commentaires lors des "commits"</t>
    </r>
    <r>
      <rPr>
        <i/>
        <sz val="10"/>
        <color indexed="12"/>
        <rFont val="Arial"/>
        <family val="2"/>
      </rPr>
      <t xml:space="preserve">. </t>
    </r>
    <r>
      <rPr>
        <sz val="10"/>
        <rFont val="Arial"/>
        <family val="2"/>
      </rPr>
      <t xml:space="preserve">
</t>
    </r>
  </si>
  <si>
    <r>
      <t xml:space="preserve">le </t>
    </r>
    <r>
      <rPr>
        <b/>
        <sz val="10"/>
        <color indexed="12"/>
        <rFont val="Arial"/>
        <family val="2"/>
      </rPr>
      <t>référentiel d'Avant Vente</t>
    </r>
    <r>
      <rPr>
        <sz val="10"/>
        <rFont val="Arial"/>
        <family val="2"/>
      </rPr>
      <t xml:space="preserve"> est enregistré sous des versions successives de la forme :
</t>
    </r>
    <r>
      <rPr>
        <i/>
        <sz val="10"/>
        <color indexed="12"/>
        <rFont val="Arial"/>
        <family val="2"/>
      </rPr>
      <t>CNT360C1_EXIGENCES_AV_1.00.xlsm,</t>
    </r>
    <r>
      <rPr>
        <sz val="10"/>
        <rFont val="Arial"/>
        <family val="2"/>
      </rPr>
      <t xml:space="preserve"> puis </t>
    </r>
    <r>
      <rPr>
        <i/>
        <sz val="10"/>
        <color indexed="12"/>
        <rFont val="Arial"/>
        <family val="2"/>
      </rPr>
      <t>CNT360C1_EXIGENCES_AV_1.01.xlsm</t>
    </r>
    <r>
      <rPr>
        <sz val="10"/>
        <rFont val="Arial"/>
        <family val="2"/>
      </rPr>
      <t xml:space="preserve">, …
</t>
    </r>
  </si>
  <si>
    <t>Ce fichier permet d'initialiser lors de l'avant vente les exigences provenant du Cahier des charges.
En l'absence d'outil, ce fichier est tenu à jour par le CP dès le lancement du projet, puis tout au long du projet.
Ce fichier représente la façon minimum de répertorier et tracer les exigences dans le cadre du référentiel qualité</t>
  </si>
  <si>
    <t>1.50</t>
  </si>
  <si>
    <t>Version pour traduction anglaise
Correction bug synthèse (BTD-422)</t>
  </si>
  <si>
    <t>Penser aux exigences sur les mentions légales</t>
  </si>
  <si>
    <t>Exemple :</t>
  </si>
  <si>
    <t xml:space="preserve">!  </t>
  </si>
  <si>
    <t>1.60</t>
  </si>
  <si>
    <t>Fin de limitation du nombre de caractère du code projet (BTD-1131)</t>
  </si>
  <si>
    <t>1.0</t>
  </si>
  <si>
    <t>Exigences UI</t>
  </si>
  <si>
    <t>à approuver</t>
  </si>
  <si>
    <t>1/9/2017  (V 1.0)</t>
  </si>
  <si>
    <t>31/10/2017 (V 1.1)</t>
  </si>
  <si>
    <t>MODPT</t>
  </si>
  <si>
    <t>Le logiciel ne nécessite pas d'intervention humaine pour la détection d'êtres humains et de bagages dans l'image.</t>
  </si>
  <si>
    <r>
      <t xml:space="preserve">Avant de sauvegarder ce fichier se reporter à la feuille </t>
    </r>
    <r>
      <rPr>
        <b/>
        <sz val="10"/>
        <color indexed="12"/>
        <rFont val="Helvetica 55 Roman"/>
        <family val="2"/>
      </rPr>
      <t>"Prop_Ref"</t>
    </r>
  </si>
  <si>
    <r>
      <t xml:space="preserve">Bien lire le contenu de la cellule </t>
    </r>
    <r>
      <rPr>
        <b/>
        <sz val="10"/>
        <rFont val="Helvetica 55 Roman"/>
        <family val="2"/>
      </rPr>
      <t>B12</t>
    </r>
    <r>
      <rPr>
        <sz val="10"/>
        <rFont val="Helvetica 55 Roman"/>
        <family val="2"/>
      </rPr>
      <t xml:space="preserve"> de la feuille </t>
    </r>
    <r>
      <rPr>
        <sz val="10"/>
        <color indexed="12"/>
        <rFont val="Helvetica 55 Roman"/>
        <family val="2"/>
      </rPr>
      <t>"Read me"</t>
    </r>
  </si>
  <si>
    <t>En cas de plantage du logiciel, ce dernier doit prévenir l'utilisateur du plantage puis redémarrer automatiquement.</t>
  </si>
  <si>
    <t>R_CONT_PERF_1</t>
  </si>
  <si>
    <t>R_CONT_QUAL_1</t>
  </si>
  <si>
    <t>R_CONT_PERF_2</t>
  </si>
  <si>
    <t>R_CONT_QUAL_2</t>
  </si>
  <si>
    <t xml:space="preserve">Le logiciel doit fonctionner dans différents environnements de transports en commun: 
* Bus et trolleybus,
* Trains,
* Trams,
* Métros. </t>
  </si>
  <si>
    <t>R_CONT_SECU_2</t>
  </si>
  <si>
    <r>
      <t xml:space="preserve">Bien lire le contenu des cellules </t>
    </r>
    <r>
      <rPr>
        <b/>
        <sz val="10"/>
        <rFont val="Helvetica 55 Roman"/>
        <family val="2"/>
      </rPr>
      <t>B(22 à 25)</t>
    </r>
    <r>
      <rPr>
        <sz val="10"/>
        <rFont val="Helvetica 55 Roman"/>
        <family val="2"/>
      </rPr>
      <t xml:space="preserve"> de la feuille </t>
    </r>
    <r>
      <rPr>
        <sz val="10"/>
        <color indexed="12"/>
        <rFont val="Helvetica 55 Roman"/>
        <family val="2"/>
      </rPr>
      <t>"Read me"</t>
    </r>
  </si>
  <si>
    <t>Un véhicule est caractérisé par les propriétés suivantes: 
* ID de véhicule
* ID de ligne 
* Date et horaire de départ du terminus
* Date et horaire d'arrivée au terminus
* Capacité maximale
* Nature du conducteur (conduite automatique ou opérateur aux commandes)</t>
  </si>
  <si>
    <t>R_FONC_VEHICULE_1</t>
  </si>
  <si>
    <t>R_FONC_VEHICULE_2</t>
  </si>
  <si>
    <t>R_FONC_HORS_LIGNE_1</t>
  </si>
  <si>
    <t>Le mode hors-ligne caractérise tout moment où le véhicule est parqué, au garage ou en atelier.</t>
  </si>
  <si>
    <t>R_FONC_HORS_LIGNE_2</t>
  </si>
  <si>
    <t xml:space="preserve">En mode hors-ligne, le logiciel ne fait pas de détection. </t>
  </si>
  <si>
    <t>R_FONC_ATTENTE_MISSION_1</t>
  </si>
  <si>
    <t>Le logiciel prend en considération la ou les caméras embarquées dans le véhicule.</t>
  </si>
  <si>
    <t>R_FONC_VEHICULE_3</t>
  </si>
  <si>
    <t>R_FONC_CAMERA_1</t>
  </si>
  <si>
    <t>R_FONC_CAMERA_2</t>
  </si>
  <si>
    <t>R_FONC_CAMERA_3</t>
  </si>
  <si>
    <t>L'interface renseigne sur l'ID du véhicule et la ligne concernée.</t>
  </si>
  <si>
    <t>L'opérateur est informé de la durée depuis la dernière exécution des exigences R_FONC_DETECT_1 et R_FONC_DETECT_2.</t>
  </si>
  <si>
    <t>Un bouton offre à l'opérateur de relancer la détection d'humains et de bagages (i.e. R_FONC_DETECT_1 et 2) à la demande.</t>
  </si>
  <si>
    <t>La tendance d'occupation par stations est présentée à l'opérateur sous forme de graphique.</t>
  </si>
  <si>
    <t xml:space="preserve">La vue des caméras au moment de la détection est affichée. </t>
  </si>
  <si>
    <t>Chaque caméra est labellisée.</t>
  </si>
  <si>
    <t>L'interface indique à l'opérateur dans quel wagon du véhicule se trouvent les caméras affichées au même moment.</t>
  </si>
  <si>
    <t>R_FONC_ATTENTE_MISSION_2</t>
  </si>
  <si>
    <t>R_FONC_ATTENTE_MISSION_3</t>
  </si>
  <si>
    <t>R_FONC_ATTENTE_MISSION_4</t>
  </si>
  <si>
    <t>R_FONC_ATTENTE_MISSION_5</t>
  </si>
  <si>
    <t>R_UI_VEHICULE_1</t>
  </si>
  <si>
    <t>R_UI_VEHICULE_2</t>
  </si>
  <si>
    <t>Afficher la date et l'heure de manière visible.</t>
  </si>
  <si>
    <r>
      <t xml:space="preserve">Bien lire le contenu de la cellule </t>
    </r>
    <r>
      <rPr>
        <b/>
        <sz val="10"/>
        <rFont val="Helvetica 55 Roman"/>
        <family val="2"/>
      </rPr>
      <t>B15</t>
    </r>
    <r>
      <rPr>
        <sz val="10"/>
        <rFont val="Helvetica 55 Roman"/>
        <family val="2"/>
      </rPr>
      <t xml:space="preserve"> de la feuille </t>
    </r>
    <r>
      <rPr>
        <sz val="10"/>
        <color indexed="12"/>
        <rFont val="Helvetica 55 Roman"/>
        <family val="2"/>
      </rPr>
      <t>"Read me"</t>
    </r>
  </si>
  <si>
    <t>La détection d'être humains et d'objets est faite à distance, sur des serveurs en cloud.</t>
  </si>
  <si>
    <t>La transmission des images est sécurisée, de manière à ce que le flux concernant ces dernières ne puisse être interprétable par une personne extérieure au projet.</t>
  </si>
  <si>
    <t>Une fois l'algorithme de détection terminé, l'image sur laquelle ce dernier à été appliqué est détruite.</t>
  </si>
  <si>
    <t>Si la sauvegarde vidéo mentionnée par R_FONC_ATTENTE_MISSION_5 est applicable, alors le logiciel floute les visages des personnes présentes dans l'image.</t>
  </si>
  <si>
    <t>R_TECH_FLUX_1</t>
  </si>
  <si>
    <t>R_TECH_CALCUL_1</t>
  </si>
  <si>
    <t>R_TECH_FLUX_2</t>
  </si>
  <si>
    <t>R_TECH_SECU_1</t>
  </si>
  <si>
    <t>R_TECH_SECU_2</t>
  </si>
  <si>
    <t>R_TECH_FLUX_3</t>
  </si>
  <si>
    <t>R_UI_TAUX_OCC_1</t>
  </si>
  <si>
    <t>R_UI_TAUX_OCC_2</t>
  </si>
  <si>
    <t>R_UI_TAUX_OCC_3</t>
  </si>
  <si>
    <t>R_UI_POSITION_1</t>
  </si>
  <si>
    <t>R_UI_POSITION_2</t>
  </si>
  <si>
    <t>R_UI_CAMERA_1</t>
  </si>
  <si>
    <t>R_UI_CAMERA_2</t>
  </si>
  <si>
    <t>R_UI_CAMERA_3</t>
  </si>
  <si>
    <t>R_UI_DETECTION_1</t>
  </si>
  <si>
    <t>R_UI_DETECTION_2</t>
  </si>
  <si>
    <t>R_UI_HEURE_1</t>
  </si>
  <si>
    <t>R_UI_SECURITE_1</t>
  </si>
  <si>
    <t>R_UI_SECURITE_2</t>
  </si>
  <si>
    <t>R_UI_SECURITE_3</t>
  </si>
  <si>
    <t>R_UI_SECURITE_4</t>
  </si>
  <si>
    <t xml:space="preserve">La résolution minimale des images doit être 720 * 576 px (576i). </t>
  </si>
  <si>
    <t>Le logiciel détecte les bagages visibles dans l'image dans n'importe quel mode.</t>
  </si>
  <si>
    <t>Le logiciel détecte les êtres humains visibles dans l'image dans n'importe quel mode.</t>
  </si>
  <si>
    <t>R_UI_TAUX_OCC_4</t>
  </si>
  <si>
    <t>R_UI_CAMERA_4</t>
  </si>
  <si>
    <t>R_UI_CAMERA_5</t>
  </si>
  <si>
    <t xml:space="preserve">Les êtres humains détectés par le logiciel sont encadrés par des rectangles dans la vue des caméras affichée (voir R_UI_CAMERA_1). </t>
  </si>
  <si>
    <t>R_UI_DETECTION_3</t>
  </si>
  <si>
    <t>R_UI_DETECTION_4</t>
  </si>
  <si>
    <t>L'interface renseigne sur le nombre d'individus détectés par l'algorithme par image.</t>
  </si>
  <si>
    <t>L'interface renseigne sur le nombre de bagages détectés par l'algorithme par image.</t>
  </si>
  <si>
    <t>Les bagages détectés par le logiciel sont encadrés par des rectangles dans la vue des caméras affichée (voir R_UI_CAMERA_1).</t>
  </si>
  <si>
    <t>Le véhicule ne peut se trouver qu'en trois modes : 
* le mode hors-ligne, 
* le mode mission commerciale,
* et le mode attente de mission.</t>
  </si>
  <si>
    <t>Le véhicule est équipé de une à N caméras embarquées. (N=3 par défaut)</t>
  </si>
  <si>
    <r>
      <t>Le champ de prise de vue des caméras embarquées dans le véhicule peut se recouper. Si un usager ou un bagage est détecté dans une zone de recoupement, un algorithme permet d'</t>
    </r>
    <r>
      <rPr>
        <b/>
        <sz val="10"/>
        <rFont val="Helvetica 55 Roman"/>
        <family val="2"/>
      </rPr>
      <t>éliminer les doublons</t>
    </r>
    <r>
      <rPr>
        <sz val="10"/>
        <rFont val="Helvetica 55 Roman"/>
        <family val="2"/>
      </rPr>
      <t>.</t>
    </r>
  </si>
  <si>
    <t>R_FONC_MISSION_COMMERCIALE_1</t>
  </si>
  <si>
    <t>R_FONC_MISSION_COMMERCIALE_2</t>
  </si>
  <si>
    <t>R_FONC_MISSION_COMMERCIALE_3</t>
  </si>
  <si>
    <t>Le mode de fonctionnement "mission commerciale" caractérise tout moment où le véhicule n'est ni en mode "hors-ligne", ni en mode "attente de mission".</t>
  </si>
  <si>
    <t>En mode mission commerciale, le logiciel renseigne le nombre de personnes visibles dans l'image (pour la précision, voir R_CONT_PERF_1).</t>
  </si>
  <si>
    <t>En mode mission commerciale, un taux d'occupation correspondant au rapport du nombre d'êtres humains détectés sur la capacité maximale de la section couverte par les caméras est fourni à l'opérateur.</t>
  </si>
  <si>
    <t>R_FONC_DETECTION_1</t>
  </si>
  <si>
    <t>R_FONC_DETECTION_2</t>
  </si>
  <si>
    <t>R_FONC_DETECTION_3</t>
  </si>
  <si>
    <t xml:space="preserve">Le mode "attente de mission" de fonctionnement caractérise les moments où le véhicule s'apprête à passer soit en mode "mission commerciale" soit en mode "hors-ligne" et où il n'y a aucun usager ni bagage à bord. </t>
  </si>
  <si>
    <t xml:space="preserve">Sur la transition de "mission commerciale" vers "attente de mission", le logiciel vérifie l'absence d'êtres humains / bagages dans le véhicule. </t>
  </si>
  <si>
    <t>S'il reste des êtres humains dans le véhicule pendant cette transition, le logiciel prévient l'opérateur qu'il reste des personnes dans le véhicule.</t>
  </si>
  <si>
    <t>S'il reste des bagages visibles dans l'image pendant cette transition, l'opérateur est alerté par le logiciel.</t>
  </si>
  <si>
    <t>Lors de cette transition, si des bagages sont détectés, la capture vidéo du trajet du véhicule sur l'intégralité de la ligne est sauvegardée.</t>
  </si>
  <si>
    <t>Les images transmises par les caméras doivent être encodées avec PNG.</t>
  </si>
  <si>
    <t>Les images transmises par les caméras doivent être encodées avec JPEG.</t>
  </si>
  <si>
    <t>R_TECH_FLUX_4</t>
  </si>
  <si>
    <t>La transmission à l'IHM de toutes les données qu'elle a besoin d'afficher se fait de manière sécurisée afin que toute interception ne soit pas interprétable par un tiers extérieur au projet.</t>
  </si>
  <si>
    <t>80% des êtres humains dont le visage est visible dans l'image doivent être correctement identifiés pour les modes "mission commerciale" et "attente de mission".</t>
  </si>
  <si>
    <t>90% des bagages visibles (=50% de la surface du bagage est visible) dans l'image doivent être correctement identifiés lors de la transition de "mission commerciale" vers "attente de mission".</t>
  </si>
  <si>
    <t>Le logiciel demande à l'utilisateur (administrateur ou opérateur) de s'identifier à chacun de ses lancements avant de pouvoir accéder aux images et résultats liés à la détection de personnes et de bagages.</t>
  </si>
  <si>
    <t>Si le véhicule est conduit de manière automatique, l'indiquer sous forme d'encart informatif.</t>
  </si>
  <si>
    <t>Le taux d'occupation sur l'ensemble du véhicule est affiché et actualisé toutes les M minutes (par défaut 2 minutes).</t>
  </si>
  <si>
    <t>Le taux d'occupation sur l'ensemble du véhicule est actualisé à chaque redémarrage d'une station.</t>
  </si>
  <si>
    <t xml:space="preserve">Le taux d'occupation de chaque wagon composant le véhicule est affiché et est actualisé toutes les M minutes (par défaut 2 minutes). </t>
  </si>
  <si>
    <t>L'interface informe de la position actuelle du véhicule.</t>
  </si>
  <si>
    <t>Lorsque le véhicule est en mode "attente de mission", l'interface indique que la position actuelle est un terminus.</t>
  </si>
  <si>
    <t>Un encart d'avertissement apparaît si des bagages sont détectés alors que le véhicule est en mode mission commerciale (c.f. R_FONC_COMMER_1).</t>
  </si>
  <si>
    <t>S'il reste des bagages dans le véhicule en mode "attente de mission", un encart de danger informe l'opérateur de la présence de bagages abandonnés.</t>
  </si>
  <si>
    <t>S'il reste des êtres humains dans le véhicule en mode "attente de mission", un encart informatif de danger informe l'opérateur du nombre d'êtres humains restant dans chaque wagon.</t>
  </si>
  <si>
    <t xml:space="preserve">S'il reste des bagages dans le véhicule en mode "attente de mission", un bouton offre la possibilité à l'opérateur d'appeler les services de sécurité concernés. </t>
  </si>
  <si>
    <t>R_UI_CAMERA_6</t>
  </si>
  <si>
    <t>Cliquer sur une image de caméra permet de l'agrandir jusqu'à la taille originale.</t>
  </si>
  <si>
    <t>L'opérateur peut sélectionner le véhicule de son choix parmi une liste déroulante</t>
  </si>
  <si>
    <t>R_UI_VEHICULE_3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</si>
</sst>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_-;\-* #,##0.00\ _€_-;_-* &quot;-&quot;??\ _€_-;_-@_-"/>
    <numFmt numFmtId="164" formatCode="_-* #,##0\ _€_-;\-* #,##0\ _€_-;_-* &quot;-&quot;??\ _€_-;_-@_-"/>
  </numFmts>
  <fonts count="39" x14ac:knownFonts="1">
    <font>
      <sz val="10"/>
      <name val="Arial"/>
    </font>
    <font>
      <sz val="10"/>
      <name val="Arial"/>
      <family val="2"/>
    </font>
    <font>
      <sz val="10"/>
      <color indexed="12"/>
      <name val="Arial"/>
      <family val="2"/>
    </font>
    <font>
      <b/>
      <sz val="10"/>
      <name val="Arial"/>
      <family val="2"/>
    </font>
    <font>
      <sz val="8"/>
      <color indexed="81"/>
      <name val="Tahoma"/>
      <family val="2"/>
    </font>
    <font>
      <sz val="8"/>
      <name val="Arial"/>
      <family val="2"/>
    </font>
    <font>
      <i/>
      <sz val="9"/>
      <name val="Arial"/>
      <family val="2"/>
    </font>
    <font>
      <sz val="10"/>
      <color indexed="9"/>
      <name val="Arial"/>
      <family val="2"/>
    </font>
    <font>
      <b/>
      <sz val="10"/>
      <color indexed="9"/>
      <name val="Arial"/>
      <family val="2"/>
    </font>
    <font>
      <sz val="10"/>
      <name val="Arial"/>
      <family val="2"/>
    </font>
    <font>
      <i/>
      <sz val="9"/>
      <color indexed="9"/>
      <name val="Arial"/>
      <family val="2"/>
    </font>
    <font>
      <sz val="10"/>
      <color indexed="9"/>
      <name val="Arial"/>
      <family val="2"/>
    </font>
    <font>
      <b/>
      <sz val="10"/>
      <color indexed="12"/>
      <name val="Arial"/>
      <family val="2"/>
    </font>
    <font>
      <sz val="10"/>
      <color indexed="12"/>
      <name val="Arial"/>
      <family val="2"/>
    </font>
    <font>
      <b/>
      <sz val="10"/>
      <color indexed="10"/>
      <name val="Arial"/>
      <family val="2"/>
    </font>
    <font>
      <b/>
      <sz val="10"/>
      <color indexed="9"/>
      <name val="Arial"/>
      <family val="2"/>
    </font>
    <font>
      <i/>
      <sz val="10"/>
      <color indexed="12"/>
      <name val="Arial"/>
      <family val="2"/>
    </font>
    <font>
      <i/>
      <sz val="10"/>
      <color indexed="60"/>
      <name val="Arial"/>
      <family val="2"/>
    </font>
    <font>
      <b/>
      <sz val="10"/>
      <color indexed="8"/>
      <name val="Arial"/>
      <family val="2"/>
    </font>
    <font>
      <b/>
      <sz val="14"/>
      <name val="Arial"/>
      <family val="2"/>
    </font>
    <font>
      <sz val="12"/>
      <color indexed="9"/>
      <name val="Arial"/>
      <family val="2"/>
    </font>
    <font>
      <sz val="8"/>
      <color indexed="8"/>
      <name val="Arial"/>
      <family val="2"/>
    </font>
    <font>
      <sz val="10"/>
      <color indexed="81"/>
      <name val="Arial"/>
      <family val="2"/>
    </font>
    <font>
      <b/>
      <sz val="10"/>
      <color indexed="81"/>
      <name val="Arial"/>
      <family val="2"/>
    </font>
    <font>
      <sz val="10"/>
      <color rgb="FF000000"/>
      <name val="Arial"/>
      <family val="2"/>
    </font>
    <font>
      <b/>
      <sz val="10"/>
      <color rgb="FFFF0000"/>
      <name val="Arial"/>
      <family val="2"/>
    </font>
    <font>
      <b/>
      <sz val="22"/>
      <color rgb="FFFF0000"/>
      <name val="Arial"/>
      <family val="2"/>
    </font>
    <font>
      <sz val="10"/>
      <name val="Helvetica 55 Roman"/>
      <family val="2"/>
    </font>
    <font>
      <b/>
      <sz val="10"/>
      <name val="Helvetica 55 Roman"/>
      <family val="2"/>
    </font>
    <font>
      <b/>
      <sz val="10"/>
      <color indexed="10"/>
      <name val="Helvetica 55 Roman"/>
      <family val="2"/>
    </font>
    <font>
      <b/>
      <sz val="10"/>
      <color indexed="12"/>
      <name val="Helvetica 55 Roman"/>
      <family val="2"/>
    </font>
    <font>
      <sz val="10"/>
      <color indexed="12"/>
      <name val="Helvetica 55 Roman"/>
      <family val="2"/>
    </font>
    <font>
      <b/>
      <sz val="10"/>
      <color indexed="9"/>
      <name val="Helvetica 55 Roman"/>
      <family val="2"/>
    </font>
    <font>
      <sz val="10"/>
      <color indexed="9"/>
      <name val="Helvetica 55 Roman"/>
      <family val="2"/>
    </font>
    <font>
      <sz val="8"/>
      <name val="Helvetica 55 Roman"/>
      <family val="2"/>
    </font>
    <font>
      <sz val="8"/>
      <color indexed="8"/>
      <name val="Helvetica 55 Roman"/>
      <family val="2"/>
    </font>
    <font>
      <sz val="10"/>
      <color rgb="FFFF0000"/>
      <name val="Helvetica 55 Roman"/>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52"/>
        <bgColor indexed="64"/>
      </patternFill>
    </fill>
    <fill>
      <patternFill patternType="solid">
        <fgColor indexed="61"/>
        <bgColor indexed="64"/>
      </patternFill>
    </fill>
    <fill>
      <patternFill patternType="solid">
        <fgColor indexed="11"/>
        <bgColor indexed="64"/>
      </patternFill>
    </fill>
    <fill>
      <patternFill patternType="solid">
        <fgColor indexed="15"/>
        <bgColor indexed="64"/>
      </patternFill>
    </fill>
    <fill>
      <patternFill patternType="solid">
        <fgColor indexed="13"/>
        <bgColor indexed="64"/>
      </patternFill>
    </fill>
    <fill>
      <patternFill patternType="solid">
        <fgColor indexed="43"/>
        <bgColor indexed="64"/>
      </patternFill>
    </fill>
    <fill>
      <patternFill patternType="solid">
        <fgColor indexed="63"/>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53"/>
        <bgColor indexed="64"/>
      </patternFill>
    </fill>
    <fill>
      <patternFill patternType="solid">
        <fgColor theme="4"/>
        <bgColor indexed="64"/>
      </patternFill>
    </fill>
    <fill>
      <patternFill patternType="solid">
        <fgColor theme="0"/>
        <bgColor indexed="64"/>
      </patternFill>
    </fill>
  </fills>
  <borders count="46">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top/>
      <bottom style="thick">
        <color indexed="9"/>
      </bottom>
      <diagonal/>
    </border>
    <border>
      <left style="medium">
        <color indexed="64"/>
      </left>
      <right/>
      <top style="thick">
        <color indexed="9"/>
      </top>
      <bottom style="thick">
        <color indexed="9"/>
      </bottom>
      <diagonal/>
    </border>
    <border>
      <left style="medium">
        <color indexed="64"/>
      </left>
      <right/>
      <top style="thick">
        <color indexed="9"/>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9"/>
      </left>
      <right style="medium">
        <color indexed="9"/>
      </right>
      <top/>
      <bottom/>
      <diagonal/>
    </border>
    <border>
      <left style="medium">
        <color indexed="9"/>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9"/>
      </right>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5">
    <xf numFmtId="0" fontId="0" fillId="0" borderId="0"/>
    <xf numFmtId="43" fontId="1" fillId="0" borderId="0" applyFont="0" applyFill="0" applyBorder="0" applyAlignment="0" applyProtection="0"/>
    <xf numFmtId="0" fontId="9" fillId="0" borderId="0"/>
    <xf numFmtId="9" fontId="1" fillId="0" borderId="0" applyFont="0" applyFill="0" applyBorder="0" applyAlignment="0" applyProtection="0"/>
    <xf numFmtId="0" fontId="1" fillId="0" borderId="0"/>
  </cellStyleXfs>
  <cellXfs count="252">
    <xf numFmtId="0" fontId="0" fillId="0" borderId="0" xfId="0"/>
    <xf numFmtId="0" fontId="0" fillId="0" borderId="0" xfId="0" applyAlignment="1">
      <alignment wrapText="1"/>
    </xf>
    <xf numFmtId="0" fontId="3"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7" fillId="2" borderId="9" xfId="0" applyFont="1" applyFill="1" applyBorder="1" applyAlignment="1">
      <alignment horizontal="center" vertical="center" wrapText="1"/>
    </xf>
    <xf numFmtId="0" fontId="7" fillId="2" borderId="10" xfId="0" applyFont="1" applyFill="1" applyBorder="1" applyAlignment="1">
      <alignment horizontal="center" vertical="center" wrapText="1"/>
    </xf>
    <xf numFmtId="0" fontId="7" fillId="0" borderId="0" xfId="0" applyFont="1"/>
    <xf numFmtId="0" fontId="3" fillId="0" borderId="0" xfId="0" applyFont="1" applyAlignment="1">
      <alignment wrapText="1"/>
    </xf>
    <xf numFmtId="0" fontId="10" fillId="3" borderId="11" xfId="0" applyFont="1" applyFill="1" applyBorder="1" applyAlignment="1">
      <alignment horizontal="center" vertical="top" wrapText="1"/>
    </xf>
    <xf numFmtId="0" fontId="10" fillId="3" borderId="12" xfId="0" applyFont="1" applyFill="1" applyBorder="1" applyAlignment="1">
      <alignment horizontal="center" vertical="top" wrapText="1"/>
    </xf>
    <xf numFmtId="0" fontId="6" fillId="4" borderId="13" xfId="0" applyFont="1" applyFill="1" applyBorder="1" applyAlignment="1">
      <alignment horizontal="center" vertical="top" wrapText="1"/>
    </xf>
    <xf numFmtId="0" fontId="6" fillId="4" borderId="14" xfId="0" applyFont="1" applyFill="1" applyBorder="1" applyAlignment="1">
      <alignment horizontal="center" vertical="top" wrapText="1"/>
    </xf>
    <xf numFmtId="0" fontId="6" fillId="5" borderId="13"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6" borderId="13" xfId="0" applyFont="1" applyFill="1" applyBorder="1" applyAlignment="1">
      <alignment horizontal="center" vertical="top" wrapText="1"/>
    </xf>
    <xf numFmtId="0" fontId="6" fillId="6" borderId="14" xfId="0" applyFont="1" applyFill="1" applyBorder="1" applyAlignment="1">
      <alignment horizontal="center" vertical="top" wrapText="1"/>
    </xf>
    <xf numFmtId="0" fontId="12" fillId="0" borderId="0" xfId="0" applyFont="1" applyAlignment="1">
      <alignment wrapText="1"/>
    </xf>
    <xf numFmtId="0" fontId="3" fillId="6" borderId="15" xfId="0" applyFont="1" applyFill="1" applyBorder="1" applyAlignment="1">
      <alignment wrapText="1"/>
    </xf>
    <xf numFmtId="0" fontId="3" fillId="5" borderId="15" xfId="0" applyFont="1" applyFill="1" applyBorder="1" applyAlignment="1">
      <alignment wrapText="1"/>
    </xf>
    <xf numFmtId="0" fontId="3" fillId="4" borderId="15" xfId="0" applyFont="1" applyFill="1" applyBorder="1" applyAlignment="1">
      <alignment wrapText="1"/>
    </xf>
    <xf numFmtId="0" fontId="8" fillId="3" borderId="15" xfId="0" applyFont="1" applyFill="1" applyBorder="1" applyAlignment="1">
      <alignment wrapText="1"/>
    </xf>
    <xf numFmtId="0" fontId="0" fillId="4" borderId="16" xfId="0" applyFill="1" applyBorder="1" applyAlignment="1">
      <alignment vertical="center" wrapText="1"/>
    </xf>
    <xf numFmtId="0" fontId="0" fillId="5" borderId="16" xfId="0" applyFill="1" applyBorder="1" applyAlignment="1">
      <alignment vertical="center" wrapText="1"/>
    </xf>
    <xf numFmtId="0" fontId="0" fillId="6" borderId="16" xfId="0" applyFill="1" applyBorder="1" applyAlignment="1">
      <alignment vertical="center" wrapText="1"/>
    </xf>
    <xf numFmtId="0" fontId="0" fillId="0" borderId="0" xfId="0" quotePrefix="1"/>
    <xf numFmtId="0" fontId="3" fillId="0" borderId="0" xfId="0" applyFont="1" applyAlignment="1">
      <alignment horizontal="center"/>
    </xf>
    <xf numFmtId="0" fontId="9" fillId="0" borderId="17" xfId="0" applyFont="1" applyBorder="1" applyAlignment="1">
      <alignment vertical="top" wrapText="1"/>
    </xf>
    <xf numFmtId="0" fontId="13" fillId="0" borderId="0" xfId="0" applyFont="1" applyAlignment="1">
      <alignment wrapText="1"/>
    </xf>
    <xf numFmtId="0" fontId="2" fillId="0" borderId="0" xfId="0" applyFont="1" applyAlignment="1">
      <alignment wrapText="1"/>
    </xf>
    <xf numFmtId="0" fontId="7" fillId="2" borderId="18" xfId="0" applyFont="1" applyFill="1" applyBorder="1" applyAlignment="1">
      <alignment horizontal="center" vertical="center" wrapText="1"/>
    </xf>
    <xf numFmtId="0" fontId="0" fillId="7" borderId="0" xfId="0" applyFill="1" applyAlignment="1">
      <alignment wrapText="1"/>
    </xf>
    <xf numFmtId="0" fontId="11" fillId="3" borderId="19" xfId="0" applyFont="1" applyFill="1" applyBorder="1" applyAlignment="1">
      <alignment vertical="center" wrapText="1"/>
    </xf>
    <xf numFmtId="0" fontId="11" fillId="3" borderId="20" xfId="0" applyFont="1" applyFill="1" applyBorder="1" applyAlignment="1">
      <alignment vertical="center" wrapText="1"/>
    </xf>
    <xf numFmtId="0" fontId="11" fillId="3" borderId="21" xfId="0" applyFont="1" applyFill="1" applyBorder="1" applyAlignment="1">
      <alignment vertical="center" wrapText="1"/>
    </xf>
    <xf numFmtId="0" fontId="3" fillId="0" borderId="18" xfId="0" applyFont="1" applyBorder="1" applyAlignment="1">
      <alignment wrapText="1"/>
    </xf>
    <xf numFmtId="0" fontId="3" fillId="7" borderId="15" xfId="0" applyFont="1" applyFill="1" applyBorder="1" applyAlignment="1">
      <alignment horizontal="center"/>
    </xf>
    <xf numFmtId="0" fontId="0" fillId="7" borderId="22" xfId="0" applyFill="1" applyBorder="1" applyAlignment="1">
      <alignment wrapText="1"/>
    </xf>
    <xf numFmtId="0" fontId="0" fillId="7" borderId="23" xfId="0" applyFill="1" applyBorder="1" applyAlignment="1">
      <alignment wrapText="1"/>
    </xf>
    <xf numFmtId="0" fontId="16" fillId="0" borderId="0" xfId="0" applyFont="1"/>
    <xf numFmtId="0" fontId="8" fillId="8" borderId="24" xfId="0" applyFont="1" applyFill="1" applyBorder="1" applyAlignment="1">
      <alignment horizontal="center"/>
    </xf>
    <xf numFmtId="0" fontId="8" fillId="8" borderId="25" xfId="0" applyFont="1" applyFill="1" applyBorder="1" applyAlignment="1">
      <alignment horizontal="center"/>
    </xf>
    <xf numFmtId="0" fontId="3" fillId="7" borderId="26" xfId="0" applyFont="1" applyFill="1" applyBorder="1"/>
    <xf numFmtId="0" fontId="0" fillId="7" borderId="18" xfId="0" applyFill="1" applyBorder="1"/>
    <xf numFmtId="0" fontId="16" fillId="0" borderId="0" xfId="0" applyFont="1" applyAlignment="1">
      <alignment horizontal="right"/>
    </xf>
    <xf numFmtId="0" fontId="0" fillId="0" borderId="27" xfId="0" applyBorder="1"/>
    <xf numFmtId="0" fontId="3" fillId="9" borderId="28" xfId="0" applyFont="1" applyFill="1" applyBorder="1"/>
    <xf numFmtId="0" fontId="0" fillId="0" borderId="17" xfId="0" applyBorder="1"/>
    <xf numFmtId="0" fontId="0" fillId="0" borderId="29" xfId="0" applyBorder="1"/>
    <xf numFmtId="0" fontId="3" fillId="9" borderId="14" xfId="0" applyFont="1" applyFill="1" applyBorder="1"/>
    <xf numFmtId="0" fontId="17" fillId="0" borderId="0" xfId="0" applyFont="1"/>
    <xf numFmtId="0" fontId="0" fillId="9" borderId="1" xfId="0" applyFill="1" applyBorder="1"/>
    <xf numFmtId="0" fontId="0" fillId="9" borderId="3" xfId="0" applyFill="1" applyBorder="1"/>
    <xf numFmtId="0" fontId="0" fillId="7" borderId="1" xfId="0" applyFill="1" applyBorder="1"/>
    <xf numFmtId="0" fontId="0" fillId="7" borderId="3" xfId="0" applyFill="1" applyBorder="1"/>
    <xf numFmtId="0" fontId="8" fillId="10" borderId="0" xfId="0" applyFont="1" applyFill="1" applyAlignment="1">
      <alignment horizontal="center"/>
    </xf>
    <xf numFmtId="0" fontId="0" fillId="0" borderId="14" xfId="0" applyBorder="1"/>
    <xf numFmtId="0" fontId="0" fillId="0" borderId="12" xfId="0" applyBorder="1"/>
    <xf numFmtId="0" fontId="8" fillId="8" borderId="32" xfId="0" applyFont="1" applyFill="1" applyBorder="1" applyAlignment="1">
      <alignment horizontal="center"/>
    </xf>
    <xf numFmtId="0" fontId="3" fillId="0" borderId="18" xfId="0" applyFont="1" applyBorder="1" applyAlignment="1">
      <alignment vertical="top" wrapText="1"/>
    </xf>
    <xf numFmtId="0" fontId="8" fillId="3" borderId="17" xfId="0" applyFont="1" applyFill="1" applyBorder="1" applyAlignment="1">
      <alignment wrapText="1"/>
    </xf>
    <xf numFmtId="0" fontId="3" fillId="0" borderId="33" xfId="0" applyFont="1" applyBorder="1" applyAlignment="1">
      <alignment vertical="top" wrapText="1"/>
    </xf>
    <xf numFmtId="0" fontId="3" fillId="0" borderId="34" xfId="0" applyFont="1" applyBorder="1" applyAlignment="1">
      <alignment vertical="top" wrapText="1"/>
    </xf>
    <xf numFmtId="0" fontId="18" fillId="0" borderId="0" xfId="0" applyFont="1" applyFill="1" applyBorder="1"/>
    <xf numFmtId="0" fontId="9" fillId="0" borderId="0" xfId="0" applyFont="1" applyBorder="1"/>
    <xf numFmtId="0" fontId="9" fillId="0" borderId="0" xfId="0" applyFont="1"/>
    <xf numFmtId="0" fontId="18" fillId="0" borderId="0" xfId="0" applyFont="1" applyFill="1"/>
    <xf numFmtId="0" fontId="8" fillId="11" borderId="7" xfId="0" applyFont="1" applyFill="1" applyBorder="1"/>
    <xf numFmtId="0" fontId="9" fillId="0" borderId="1" xfId="0" applyFont="1" applyFill="1" applyBorder="1"/>
    <xf numFmtId="0" fontId="3" fillId="0" borderId="7" xfId="0" applyFont="1" applyBorder="1" applyAlignment="1">
      <alignment horizontal="right"/>
    </xf>
    <xf numFmtId="0" fontId="19" fillId="0" borderId="0" xfId="0" applyFont="1"/>
    <xf numFmtId="0" fontId="9" fillId="0" borderId="0" xfId="2" applyAlignment="1">
      <alignment vertical="center"/>
    </xf>
    <xf numFmtId="0" fontId="9" fillId="0" borderId="0" xfId="2" applyAlignment="1">
      <alignment wrapText="1"/>
    </xf>
    <xf numFmtId="0" fontId="9" fillId="0" borderId="0" xfId="2"/>
    <xf numFmtId="0" fontId="3" fillId="0" borderId="7" xfId="2" applyFont="1" applyBorder="1" applyAlignment="1">
      <alignment horizontal="center"/>
    </xf>
    <xf numFmtId="0" fontId="3" fillId="0" borderId="7" xfId="2" applyFont="1" applyBorder="1"/>
    <xf numFmtId="0" fontId="9" fillId="0" borderId="7" xfId="2" applyBorder="1"/>
    <xf numFmtId="0" fontId="9" fillId="0" borderId="7" xfId="2" applyFont="1" applyBorder="1" applyAlignment="1">
      <alignment horizontal="center"/>
    </xf>
    <xf numFmtId="14" fontId="9" fillId="0" borderId="7" xfId="2" applyNumberFormat="1" applyBorder="1" applyAlignment="1">
      <alignment horizontal="center"/>
    </xf>
    <xf numFmtId="0" fontId="5" fillId="0" borderId="0" xfId="0" applyFont="1" applyAlignment="1">
      <alignment vertical="center"/>
    </xf>
    <xf numFmtId="0" fontId="5" fillId="0" borderId="27" xfId="0" applyFont="1" applyBorder="1" applyAlignment="1">
      <alignment horizontal="center" vertical="center"/>
    </xf>
    <xf numFmtId="0" fontId="5" fillId="0" borderId="35" xfId="0" applyFont="1" applyBorder="1" applyAlignment="1">
      <alignment horizontal="center" vertical="center"/>
    </xf>
    <xf numFmtId="0" fontId="21" fillId="0" borderId="35" xfId="0" applyFont="1" applyBorder="1" applyAlignment="1">
      <alignment horizontal="center" vertical="center"/>
    </xf>
    <xf numFmtId="0" fontId="5" fillId="0" borderId="16" xfId="0" applyFont="1" applyBorder="1" applyAlignment="1">
      <alignment horizontal="center" vertical="center"/>
    </xf>
    <xf numFmtId="0" fontId="5" fillId="0" borderId="36" xfId="0" applyFont="1" applyBorder="1" applyAlignment="1">
      <alignment horizontal="center" vertical="center"/>
    </xf>
    <xf numFmtId="9" fontId="5" fillId="0" borderId="36" xfId="3" applyFont="1" applyBorder="1" applyAlignment="1">
      <alignment horizontal="center" vertical="center"/>
    </xf>
    <xf numFmtId="0" fontId="21" fillId="0" borderId="36" xfId="0" applyFont="1" applyBorder="1" applyAlignment="1">
      <alignment horizontal="center" vertical="center"/>
    </xf>
    <xf numFmtId="0" fontId="5" fillId="0" borderId="35" xfId="0" applyFont="1" applyBorder="1" applyAlignment="1">
      <alignment vertical="center"/>
    </xf>
    <xf numFmtId="0" fontId="5" fillId="0" borderId="33" xfId="0" applyFont="1" applyBorder="1" applyAlignment="1">
      <alignment vertical="center"/>
    </xf>
    <xf numFmtId="0" fontId="5" fillId="0" borderId="34" xfId="0" applyFont="1" applyBorder="1" applyAlignment="1">
      <alignment vertical="center"/>
    </xf>
    <xf numFmtId="0" fontId="5" fillId="0" borderId="36" xfId="0" applyFont="1" applyBorder="1" applyAlignment="1">
      <alignment vertical="center"/>
    </xf>
    <xf numFmtId="0" fontId="9" fillId="0" borderId="7" xfId="2" quotePrefix="1" applyFont="1" applyBorder="1" applyAlignment="1">
      <alignment wrapText="1"/>
    </xf>
    <xf numFmtId="0" fontId="1" fillId="0" borderId="7" xfId="0" applyFont="1" applyBorder="1" applyAlignment="1">
      <alignment horizontal="center" vertical="top"/>
    </xf>
    <xf numFmtId="0" fontId="1" fillId="0" borderId="7" xfId="0" applyFont="1" applyBorder="1" applyAlignment="1">
      <alignment vertical="top" wrapText="1"/>
    </xf>
    <xf numFmtId="0" fontId="1" fillId="0" borderId="7" xfId="0" applyFont="1" applyFill="1" applyBorder="1" applyAlignment="1">
      <alignment horizontal="center" vertical="top"/>
    </xf>
    <xf numFmtId="0" fontId="12" fillId="7" borderId="23" xfId="0" applyFont="1" applyFill="1" applyBorder="1" applyAlignment="1">
      <alignment horizontal="center" wrapText="1"/>
    </xf>
    <xf numFmtId="164" fontId="0" fillId="0" borderId="7" xfId="1" applyNumberFormat="1" applyFont="1" applyBorder="1" applyAlignment="1">
      <alignment horizontal="left"/>
    </xf>
    <xf numFmtId="164" fontId="3" fillId="0" borderId="7" xfId="1" applyNumberFormat="1" applyFont="1" applyBorder="1" applyAlignment="1">
      <alignment horizontal="left"/>
    </xf>
    <xf numFmtId="0" fontId="8" fillId="11" borderId="7" xfId="0" applyFont="1" applyFill="1" applyBorder="1" applyAlignment="1">
      <alignment horizontal="center"/>
    </xf>
    <xf numFmtId="0" fontId="14" fillId="0" borderId="0" xfId="0" applyFont="1" applyAlignment="1">
      <alignment vertical="center"/>
    </xf>
    <xf numFmtId="0" fontId="12" fillId="7" borderId="15" xfId="0" applyFont="1" applyFill="1" applyBorder="1" applyAlignment="1">
      <alignment horizontal="center" wrapText="1"/>
    </xf>
    <xf numFmtId="0" fontId="9" fillId="0" borderId="7" xfId="2" applyFont="1" applyBorder="1" applyAlignment="1">
      <alignment wrapText="1"/>
    </xf>
    <xf numFmtId="2" fontId="0" fillId="0" borderId="13" xfId="0" applyNumberFormat="1" applyBorder="1"/>
    <xf numFmtId="2" fontId="0" fillId="0" borderId="11" xfId="0" applyNumberFormat="1" applyBorder="1"/>
    <xf numFmtId="14" fontId="9" fillId="0" borderId="7" xfId="2" applyNumberFormat="1" applyFont="1" applyBorder="1" applyAlignment="1">
      <alignment horizontal="center"/>
    </xf>
    <xf numFmtId="0" fontId="9" fillId="0" borderId="0" xfId="0" applyFont="1" applyAlignment="1">
      <alignment wrapText="1"/>
    </xf>
    <xf numFmtId="0" fontId="8" fillId="11" borderId="7" xfId="0" applyFont="1" applyFill="1" applyBorder="1" applyAlignment="1"/>
    <xf numFmtId="0" fontId="9" fillId="0" borderId="0" xfId="0" applyFont="1" applyAlignment="1"/>
    <xf numFmtId="0" fontId="9" fillId="0" borderId="0" xfId="0" applyFont="1" applyBorder="1" applyAlignment="1">
      <alignment wrapText="1"/>
    </xf>
    <xf numFmtId="0" fontId="8" fillId="11" borderId="7" xfId="0" applyFont="1" applyFill="1" applyBorder="1" applyAlignment="1">
      <alignment wrapText="1"/>
    </xf>
    <xf numFmtId="0" fontId="3" fillId="0" borderId="7" xfId="0" applyFont="1" applyFill="1" applyBorder="1" applyAlignment="1">
      <alignment vertical="top"/>
    </xf>
    <xf numFmtId="0" fontId="1" fillId="0" borderId="7" xfId="2" applyFont="1" applyBorder="1" applyAlignment="1">
      <alignment wrapText="1"/>
    </xf>
    <xf numFmtId="0" fontId="25" fillId="0" borderId="0" xfId="0" applyFont="1"/>
    <xf numFmtId="0" fontId="8" fillId="11" borderId="7" xfId="0" quotePrefix="1" applyFont="1" applyFill="1" applyBorder="1" applyAlignment="1">
      <alignment horizontal="center"/>
    </xf>
    <xf numFmtId="0" fontId="1" fillId="0" borderId="7" xfId="0" applyFont="1" applyBorder="1" applyAlignment="1">
      <alignment horizontal="center" vertical="center"/>
    </xf>
    <xf numFmtId="0" fontId="1" fillId="0" borderId="7" xfId="0" applyFont="1" applyBorder="1" applyAlignment="1">
      <alignment horizontal="center" vertical="center" wrapText="1"/>
    </xf>
    <xf numFmtId="0" fontId="1" fillId="0" borderId="7"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vertical="top"/>
    </xf>
    <xf numFmtId="0" fontId="5" fillId="0" borderId="0" xfId="0" applyFont="1" applyAlignment="1">
      <alignment vertical="top"/>
    </xf>
    <xf numFmtId="0" fontId="9" fillId="0" borderId="0" xfId="0" applyFont="1" applyAlignment="1">
      <alignment vertical="center" wrapText="1"/>
    </xf>
    <xf numFmtId="0" fontId="15" fillId="2" borderId="0" xfId="0" applyFont="1" applyFill="1" applyAlignment="1">
      <alignment horizontal="center" vertical="center"/>
    </xf>
    <xf numFmtId="0" fontId="8" fillId="2" borderId="0" xfId="0" applyFont="1" applyFill="1" applyBorder="1" applyAlignment="1">
      <alignment horizontal="center" vertical="center" wrapText="1"/>
    </xf>
    <xf numFmtId="0" fontId="1" fillId="0" borderId="7" xfId="0" applyFont="1" applyBorder="1" applyAlignment="1">
      <alignment vertical="center" wrapText="1"/>
    </xf>
    <xf numFmtId="0" fontId="0" fillId="0" borderId="7" xfId="0" applyBorder="1" applyAlignment="1">
      <alignment horizontal="center" vertical="center"/>
    </xf>
    <xf numFmtId="0" fontId="1" fillId="0" borderId="30" xfId="0" applyFont="1" applyBorder="1" applyAlignment="1">
      <alignment vertical="center" wrapText="1"/>
    </xf>
    <xf numFmtId="0" fontId="1" fillId="0" borderId="30" xfId="0" applyFont="1" applyFill="1" applyBorder="1" applyAlignment="1">
      <alignment horizontal="center" vertical="center"/>
    </xf>
    <xf numFmtId="0" fontId="9" fillId="0" borderId="7" xfId="0" applyFont="1" applyBorder="1" applyAlignment="1">
      <alignment horizontal="center" vertical="center"/>
    </xf>
    <xf numFmtId="0" fontId="9" fillId="0" borderId="7" xfId="0" applyFont="1" applyBorder="1" applyAlignment="1">
      <alignment vertical="center" wrapText="1"/>
    </xf>
    <xf numFmtId="0" fontId="0" fillId="0" borderId="14" xfId="0" applyBorder="1" applyAlignment="1">
      <alignment vertical="center" wrapText="1"/>
    </xf>
    <xf numFmtId="0" fontId="3" fillId="4" borderId="0" xfId="0" applyFont="1" applyFill="1" applyBorder="1" applyAlignment="1">
      <alignment horizontal="center" vertical="center" wrapText="1"/>
    </xf>
    <xf numFmtId="0" fontId="3" fillId="4" borderId="13" xfId="0" applyFont="1" applyFill="1" applyBorder="1" applyAlignment="1">
      <alignment vertical="center"/>
    </xf>
    <xf numFmtId="0" fontId="1" fillId="0" borderId="37" xfId="0" applyFont="1" applyBorder="1" applyAlignment="1">
      <alignment vertical="center" wrapText="1"/>
    </xf>
    <xf numFmtId="0" fontId="1" fillId="0" borderId="37" xfId="0" applyFont="1" applyFill="1" applyBorder="1" applyAlignment="1">
      <alignment horizontal="center" vertical="center"/>
    </xf>
    <xf numFmtId="0" fontId="0" fillId="0" borderId="38" xfId="0" applyBorder="1" applyAlignment="1">
      <alignment vertical="center" wrapText="1"/>
    </xf>
    <xf numFmtId="0" fontId="0" fillId="0" borderId="31" xfId="0" applyBorder="1" applyAlignment="1">
      <alignment vertical="center" wrapText="1"/>
    </xf>
    <xf numFmtId="0" fontId="0" fillId="0" borderId="44" xfId="0" applyBorder="1"/>
    <xf numFmtId="0" fontId="9" fillId="0" borderId="45" xfId="0" applyFont="1" applyFill="1" applyBorder="1"/>
    <xf numFmtId="0" fontId="0" fillId="0" borderId="45" xfId="0" applyBorder="1"/>
    <xf numFmtId="0" fontId="0" fillId="7" borderId="22" xfId="0" applyFill="1" applyBorder="1"/>
    <xf numFmtId="0" fontId="0" fillId="9" borderId="22" xfId="0" applyFill="1" applyBorder="1"/>
    <xf numFmtId="0" fontId="1" fillId="0" borderId="45" xfId="0" applyFont="1" applyBorder="1"/>
    <xf numFmtId="2" fontId="3" fillId="14" borderId="39" xfId="0" applyNumberFormat="1" applyFont="1" applyFill="1" applyBorder="1"/>
    <xf numFmtId="0" fontId="3" fillId="14" borderId="31" xfId="0" applyFont="1" applyFill="1" applyBorder="1"/>
    <xf numFmtId="14" fontId="3" fillId="14" borderId="30" xfId="0" applyNumberFormat="1" applyFont="1" applyFill="1" applyBorder="1" applyAlignment="1">
      <alignment horizontal="center" vertical="center"/>
    </xf>
    <xf numFmtId="0" fontId="3" fillId="0" borderId="23" xfId="0" applyFont="1" applyBorder="1" applyAlignment="1">
      <alignment wrapText="1"/>
    </xf>
    <xf numFmtId="0" fontId="1" fillId="0" borderId="7" xfId="0" applyFont="1" applyBorder="1"/>
    <xf numFmtId="0" fontId="3" fillId="14" borderId="31" xfId="0" applyFont="1" applyFill="1" applyBorder="1" applyAlignment="1">
      <alignment wrapText="1"/>
    </xf>
    <xf numFmtId="2" fontId="3" fillId="14" borderId="39" xfId="0" applyNumberFormat="1" applyFont="1" applyFill="1" applyBorder="1" applyAlignment="1">
      <alignment vertical="center"/>
    </xf>
    <xf numFmtId="2" fontId="3" fillId="0" borderId="13" xfId="0" applyNumberFormat="1" applyFont="1" applyBorder="1"/>
    <xf numFmtId="14" fontId="3" fillId="0" borderId="7" xfId="0" applyNumberFormat="1" applyFont="1" applyBorder="1" applyAlignment="1">
      <alignment horizontal="center"/>
    </xf>
    <xf numFmtId="0" fontId="3" fillId="0" borderId="14" xfId="0" applyFont="1" applyBorder="1"/>
    <xf numFmtId="0" fontId="27" fillId="0" borderId="0" xfId="0" applyFont="1" applyAlignment="1">
      <alignment vertical="top"/>
    </xf>
    <xf numFmtId="0" fontId="28" fillId="6" borderId="0" xfId="0" applyFont="1" applyFill="1" applyBorder="1" applyAlignment="1">
      <alignment horizontal="center" vertical="center" wrapText="1"/>
    </xf>
    <xf numFmtId="0" fontId="29" fillId="0" borderId="0" xfId="0" applyFont="1" applyAlignment="1">
      <alignment vertical="center"/>
    </xf>
    <xf numFmtId="0" fontId="27" fillId="0" borderId="0" xfId="0" applyFont="1"/>
    <xf numFmtId="0" fontId="32" fillId="2" borderId="0" xfId="0" applyFont="1" applyFill="1" applyBorder="1" applyAlignment="1">
      <alignment horizontal="center" vertical="center" wrapText="1"/>
    </xf>
    <xf numFmtId="0" fontId="32" fillId="2" borderId="0" xfId="0" applyFont="1" applyFill="1" applyAlignment="1">
      <alignment horizontal="center" vertical="center"/>
    </xf>
    <xf numFmtId="0" fontId="33" fillId="0" borderId="0" xfId="0" applyFont="1"/>
    <xf numFmtId="0" fontId="27" fillId="0" borderId="0" xfId="0" applyFont="1" applyAlignment="1">
      <alignment horizontal="center" vertical="center"/>
    </xf>
    <xf numFmtId="0" fontId="34" fillId="0" borderId="0" xfId="0" applyFont="1" applyAlignment="1">
      <alignment vertical="top"/>
    </xf>
    <xf numFmtId="0" fontId="34" fillId="0" borderId="27" xfId="0" applyFont="1" applyBorder="1" applyAlignment="1">
      <alignment horizontal="center" vertical="center"/>
    </xf>
    <xf numFmtId="0" fontId="34" fillId="0" borderId="35" xfId="0" applyFont="1" applyBorder="1" applyAlignment="1">
      <alignment horizontal="center" vertical="center"/>
    </xf>
    <xf numFmtId="0" fontId="35" fillId="0" borderId="35" xfId="0" applyFont="1" applyBorder="1" applyAlignment="1">
      <alignment horizontal="center" vertical="center"/>
    </xf>
    <xf numFmtId="0" fontId="34" fillId="0" borderId="35" xfId="0" applyFont="1" applyBorder="1" applyAlignment="1">
      <alignment vertical="center"/>
    </xf>
    <xf numFmtId="0" fontId="34" fillId="0" borderId="33" xfId="0" applyFont="1" applyBorder="1" applyAlignment="1">
      <alignment vertical="center"/>
    </xf>
    <xf numFmtId="0" fontId="34" fillId="0" borderId="0" xfId="0" applyFont="1" applyAlignment="1">
      <alignment vertical="center"/>
    </xf>
    <xf numFmtId="0" fontId="34" fillId="0" borderId="26" xfId="0" applyFont="1" applyBorder="1" applyAlignment="1">
      <alignment horizontal="center" vertical="center"/>
    </xf>
    <xf numFmtId="0" fontId="34" fillId="0" borderId="43" xfId="0" applyFont="1" applyBorder="1" applyAlignment="1">
      <alignment horizontal="center" vertical="center"/>
    </xf>
    <xf numFmtId="9" fontId="34" fillId="0" borderId="43" xfId="3" applyFont="1" applyBorder="1" applyAlignment="1">
      <alignment horizontal="center" vertical="center"/>
    </xf>
    <xf numFmtId="0" fontId="35" fillId="0" borderId="43" xfId="0" applyFont="1" applyBorder="1" applyAlignment="1">
      <alignment horizontal="center" vertical="center"/>
    </xf>
    <xf numFmtId="0" fontId="34" fillId="0" borderId="43" xfId="0" applyFont="1" applyBorder="1" applyAlignment="1">
      <alignment vertical="center"/>
    </xf>
    <xf numFmtId="0" fontId="34" fillId="0" borderId="18" xfId="0" applyFont="1" applyBorder="1" applyAlignment="1">
      <alignment vertical="center"/>
    </xf>
    <xf numFmtId="0" fontId="33" fillId="2" borderId="41" xfId="0" applyFont="1" applyFill="1" applyBorder="1" applyAlignment="1">
      <alignment horizontal="center" vertical="center" wrapText="1"/>
    </xf>
    <xf numFmtId="0" fontId="33" fillId="2" borderId="37" xfId="0" applyFont="1" applyFill="1" applyBorder="1" applyAlignment="1">
      <alignment horizontal="center" vertical="center" wrapText="1"/>
    </xf>
    <xf numFmtId="0" fontId="33" fillId="2" borderId="10" xfId="0" applyFont="1" applyFill="1" applyBorder="1" applyAlignment="1">
      <alignment horizontal="center" vertical="center" wrapText="1"/>
    </xf>
    <xf numFmtId="0" fontId="33" fillId="2" borderId="33" xfId="0" applyFont="1" applyFill="1" applyBorder="1" applyAlignment="1">
      <alignment horizontal="center" vertical="center" wrapText="1"/>
    </xf>
    <xf numFmtId="0" fontId="28" fillId="6" borderId="42" xfId="0" applyNumberFormat="1" applyFont="1" applyFill="1" applyBorder="1" applyAlignment="1">
      <alignment vertical="center"/>
    </xf>
    <xf numFmtId="0" fontId="27" fillId="0" borderId="7" xfId="0" applyFont="1" applyBorder="1" applyAlignment="1">
      <alignment vertical="center" wrapText="1"/>
    </xf>
    <xf numFmtId="0" fontId="27" fillId="0" borderId="7" xfId="0" applyFont="1" applyBorder="1" applyAlignment="1">
      <alignment horizontal="center" vertical="center"/>
    </xf>
    <xf numFmtId="0" fontId="27" fillId="0" borderId="7" xfId="0" applyFont="1" applyBorder="1" applyAlignment="1">
      <alignment horizontal="center" vertical="center" wrapText="1"/>
    </xf>
    <xf numFmtId="0" fontId="27" fillId="0" borderId="37" xfId="0" applyFont="1" applyBorder="1" applyAlignment="1">
      <alignment vertical="center" wrapText="1"/>
    </xf>
    <xf numFmtId="0" fontId="27" fillId="0" borderId="37" xfId="0" applyFont="1" applyBorder="1" applyAlignment="1">
      <alignment horizontal="center" vertical="center" wrapText="1"/>
    </xf>
    <xf numFmtId="0" fontId="27" fillId="0" borderId="37" xfId="0" applyFont="1" applyFill="1" applyBorder="1" applyAlignment="1">
      <alignment horizontal="center" vertical="center"/>
    </xf>
    <xf numFmtId="0" fontId="27" fillId="0" borderId="7" xfId="0" applyFont="1" applyFill="1" applyBorder="1" applyAlignment="1">
      <alignment horizontal="center" vertical="center" wrapText="1"/>
    </xf>
    <xf numFmtId="0" fontId="27" fillId="0" borderId="7" xfId="0" applyFont="1" applyBorder="1" applyAlignment="1">
      <alignment vertical="center"/>
    </xf>
    <xf numFmtId="0" fontId="28" fillId="6" borderId="13" xfId="0" applyNumberFormat="1" applyFont="1" applyFill="1" applyBorder="1" applyAlignment="1">
      <alignment vertical="center"/>
    </xf>
    <xf numFmtId="0" fontId="27" fillId="0" borderId="7" xfId="0" applyFont="1" applyFill="1" applyBorder="1" applyAlignment="1">
      <alignment horizontal="center" vertical="center"/>
    </xf>
    <xf numFmtId="0" fontId="27" fillId="0" borderId="0" xfId="0" applyFont="1" applyBorder="1" applyAlignment="1">
      <alignment vertical="center" wrapText="1"/>
    </xf>
    <xf numFmtId="0" fontId="27" fillId="0" borderId="14" xfId="0" applyFont="1" applyBorder="1" applyAlignment="1">
      <alignment vertical="center" wrapText="1"/>
    </xf>
    <xf numFmtId="0" fontId="28" fillId="0" borderId="14" xfId="0" applyFont="1" applyBorder="1" applyAlignment="1">
      <alignment vertical="center" wrapText="1"/>
    </xf>
    <xf numFmtId="0" fontId="27" fillId="0" borderId="7" xfId="0" applyFont="1" applyBorder="1" applyAlignment="1">
      <alignment horizontal="center" vertical="top"/>
    </xf>
    <xf numFmtId="0" fontId="27" fillId="0" borderId="7" xfId="0" applyFont="1" applyBorder="1" applyAlignment="1">
      <alignment vertical="top" wrapText="1"/>
    </xf>
    <xf numFmtId="0" fontId="27" fillId="0" borderId="7" xfId="0" applyFont="1" applyBorder="1" applyAlignment="1">
      <alignment horizontal="center" vertical="top" wrapText="1"/>
    </xf>
    <xf numFmtId="0" fontId="27" fillId="0" borderId="7" xfId="0" applyFont="1" applyFill="1" applyBorder="1" applyAlignment="1">
      <alignment horizontal="center" vertical="top"/>
    </xf>
    <xf numFmtId="0" fontId="27" fillId="0" borderId="7" xfId="0" applyFont="1" applyFill="1" applyBorder="1" applyAlignment="1">
      <alignment horizontal="center" vertical="top" wrapText="1"/>
    </xf>
    <xf numFmtId="0" fontId="27" fillId="0" borderId="14" xfId="0" applyFont="1" applyBorder="1" applyAlignment="1">
      <alignment vertical="top" wrapText="1"/>
    </xf>
    <xf numFmtId="0" fontId="27" fillId="0" borderId="30" xfId="0" applyFont="1" applyBorder="1" applyAlignment="1">
      <alignment vertical="center" wrapText="1"/>
    </xf>
    <xf numFmtId="0" fontId="27" fillId="0" borderId="30" xfId="0" applyFont="1" applyFill="1" applyBorder="1" applyAlignment="1">
      <alignment horizontal="center" vertical="center"/>
    </xf>
    <xf numFmtId="0" fontId="27" fillId="0" borderId="7" xfId="0" applyFont="1" applyFill="1" applyBorder="1" applyAlignment="1">
      <alignment vertical="center" wrapText="1"/>
    </xf>
    <xf numFmtId="0" fontId="27" fillId="0" borderId="14" xfId="0" applyFont="1" applyFill="1" applyBorder="1" applyAlignment="1">
      <alignment vertical="center" wrapText="1"/>
    </xf>
    <xf numFmtId="0" fontId="28" fillId="0" borderId="14" xfId="0" applyFont="1" applyFill="1" applyBorder="1" applyAlignment="1">
      <alignment vertical="center" wrapText="1"/>
    </xf>
    <xf numFmtId="0" fontId="27" fillId="0" borderId="40" xfId="0" applyFont="1" applyBorder="1"/>
    <xf numFmtId="0" fontId="27" fillId="0" borderId="0" xfId="0" applyFont="1" applyAlignment="1">
      <alignment vertical="center"/>
    </xf>
    <xf numFmtId="0" fontId="27" fillId="0" borderId="0" xfId="0" applyFont="1" applyAlignment="1">
      <alignment vertical="center" wrapText="1"/>
    </xf>
    <xf numFmtId="0" fontId="27" fillId="0" borderId="7" xfId="0" applyFont="1" applyBorder="1"/>
    <xf numFmtId="0" fontId="32" fillId="3" borderId="0" xfId="0" applyFont="1" applyFill="1" applyBorder="1" applyAlignment="1">
      <alignment horizontal="center" vertical="center" wrapText="1"/>
    </xf>
    <xf numFmtId="0" fontId="27" fillId="0" borderId="0" xfId="0" applyFont="1" applyAlignment="1">
      <alignment wrapText="1"/>
    </xf>
    <xf numFmtId="0" fontId="32" fillId="2" borderId="0" xfId="0" applyFont="1" applyFill="1" applyBorder="1" applyAlignment="1">
      <alignment horizontal="center" vertical="center"/>
    </xf>
    <xf numFmtId="0" fontId="34" fillId="0" borderId="16" xfId="0" applyFont="1" applyBorder="1" applyAlignment="1">
      <alignment horizontal="center" vertical="center"/>
    </xf>
    <xf numFmtId="0" fontId="34" fillId="0" borderId="36" xfId="0" applyFont="1" applyBorder="1" applyAlignment="1">
      <alignment horizontal="center" vertical="center"/>
    </xf>
    <xf numFmtId="9" fontId="34" fillId="0" borderId="36" xfId="3" applyFont="1" applyBorder="1" applyAlignment="1">
      <alignment horizontal="center" vertical="center"/>
    </xf>
    <xf numFmtId="0" fontId="35" fillId="0" borderId="36" xfId="0" applyFont="1" applyBorder="1" applyAlignment="1">
      <alignment horizontal="center" vertical="center"/>
    </xf>
    <xf numFmtId="0" fontId="35" fillId="0" borderId="0" xfId="0" applyFont="1" applyBorder="1" applyAlignment="1">
      <alignment horizontal="center" vertical="center"/>
    </xf>
    <xf numFmtId="0" fontId="34" fillId="0" borderId="36" xfId="0" applyFont="1" applyBorder="1" applyAlignment="1">
      <alignment vertical="center"/>
    </xf>
    <xf numFmtId="0" fontId="34" fillId="0" borderId="34" xfId="0" applyFont="1" applyBorder="1" applyAlignment="1">
      <alignment vertical="center"/>
    </xf>
    <xf numFmtId="0" fontId="33" fillId="2" borderId="9" xfId="0" applyFont="1" applyFill="1" applyBorder="1" applyAlignment="1">
      <alignment horizontal="center" vertical="center" wrapText="1"/>
    </xf>
    <xf numFmtId="0" fontId="33" fillId="2" borderId="18" xfId="0" applyFont="1" applyFill="1" applyBorder="1" applyAlignment="1">
      <alignment horizontal="center" vertical="center" wrapText="1"/>
    </xf>
    <xf numFmtId="0" fontId="28" fillId="3" borderId="13" xfId="0" applyFont="1" applyFill="1" applyBorder="1" applyAlignment="1">
      <alignment vertical="center"/>
    </xf>
    <xf numFmtId="0" fontId="28" fillId="3" borderId="13" xfId="0" applyFont="1" applyFill="1" applyBorder="1" applyAlignment="1">
      <alignment horizontal="justify" vertical="center" wrapText="1"/>
    </xf>
    <xf numFmtId="0" fontId="32" fillId="2" borderId="0" xfId="0" applyFont="1" applyFill="1" applyBorder="1" applyAlignment="1">
      <alignment horizontal="center" vertical="center" wrapText="1"/>
    </xf>
    <xf numFmtId="0" fontId="28" fillId="13" borderId="0" xfId="0" applyFont="1" applyFill="1" applyBorder="1" applyAlignment="1">
      <alignment horizontal="center" vertical="center" wrapText="1"/>
    </xf>
    <xf numFmtId="0" fontId="27" fillId="2" borderId="10" xfId="0" applyFont="1" applyFill="1" applyBorder="1" applyAlignment="1">
      <alignment horizontal="center" vertical="center" wrapText="1"/>
    </xf>
    <xf numFmtId="0" fontId="28" fillId="13" borderId="13" xfId="0" applyFont="1" applyFill="1" applyBorder="1" applyAlignment="1">
      <alignment vertical="center"/>
    </xf>
    <xf numFmtId="0" fontId="36" fillId="0" borderId="7" xfId="0" applyFont="1" applyBorder="1" applyAlignment="1">
      <alignment horizontal="center" vertical="center"/>
    </xf>
    <xf numFmtId="0" fontId="36" fillId="0" borderId="7" xfId="0" applyFont="1" applyBorder="1" applyAlignment="1">
      <alignment horizontal="center" vertical="center" wrapText="1"/>
    </xf>
    <xf numFmtId="0" fontId="36" fillId="0" borderId="7" xfId="0" applyFont="1" applyFill="1" applyBorder="1" applyAlignment="1">
      <alignment horizontal="center" vertical="center" wrapText="1"/>
    </xf>
    <xf numFmtId="0" fontId="36" fillId="0" borderId="14" xfId="0" applyFont="1" applyBorder="1" applyAlignment="1">
      <alignment vertical="center" wrapText="1"/>
    </xf>
    <xf numFmtId="0" fontId="28" fillId="5" borderId="0" xfId="0" applyFont="1" applyFill="1" applyBorder="1" applyAlignment="1">
      <alignment horizontal="center" vertical="center" wrapText="1"/>
    </xf>
    <xf numFmtId="0" fontId="28" fillId="5" borderId="41" xfId="0" applyFont="1" applyFill="1" applyBorder="1" applyAlignment="1">
      <alignment vertical="center"/>
    </xf>
    <xf numFmtId="0" fontId="28" fillId="5" borderId="13" xfId="0" applyFont="1" applyFill="1" applyBorder="1" applyAlignment="1">
      <alignment vertical="center"/>
    </xf>
    <xf numFmtId="0" fontId="36" fillId="0" borderId="7" xfId="0" applyFont="1" applyFill="1" applyBorder="1" applyAlignment="1">
      <alignment vertical="center" wrapText="1"/>
    </xf>
    <xf numFmtId="0" fontId="36" fillId="0" borderId="7" xfId="0" applyFont="1" applyFill="1" applyBorder="1" applyAlignment="1">
      <alignment horizontal="center" vertical="center"/>
    </xf>
    <xf numFmtId="20" fontId="27" fillId="0" borderId="7" xfId="0" applyNumberFormat="1" applyFont="1" applyBorder="1" applyAlignment="1">
      <alignment horizontal="center" vertical="center"/>
    </xf>
    <xf numFmtId="0" fontId="28" fillId="6" borderId="42" xfId="0" applyNumberFormat="1" applyFont="1" applyFill="1" applyBorder="1" applyAlignment="1">
      <alignment vertical="center" wrapText="1"/>
    </xf>
    <xf numFmtId="0" fontId="28" fillId="6" borderId="13" xfId="0" applyNumberFormat="1" applyFont="1" applyFill="1" applyBorder="1" applyAlignment="1">
      <alignment vertical="center" wrapText="1"/>
    </xf>
    <xf numFmtId="0" fontId="26" fillId="0" borderId="0" xfId="0" applyFont="1" applyAlignment="1">
      <alignment horizontal="right" vertical="center" wrapText="1" indent="1"/>
    </xf>
    <xf numFmtId="0" fontId="8" fillId="2" borderId="0" xfId="0" applyFont="1" applyFill="1" applyBorder="1" applyAlignment="1">
      <alignment horizontal="center" vertical="center" wrapText="1"/>
    </xf>
    <xf numFmtId="0" fontId="9" fillId="0" borderId="0" xfId="0" applyFont="1" applyAlignment="1">
      <alignment horizontal="center" vertical="center" wrapText="1"/>
    </xf>
    <xf numFmtId="0" fontId="32" fillId="2" borderId="0" xfId="0" applyFont="1" applyFill="1" applyBorder="1" applyAlignment="1">
      <alignment horizontal="center" vertical="center" wrapText="1"/>
    </xf>
    <xf numFmtId="0" fontId="27" fillId="0" borderId="0" xfId="0" applyFont="1" applyAlignment="1">
      <alignment horizontal="center" wrapText="1"/>
    </xf>
    <xf numFmtId="0" fontId="29" fillId="0" borderId="0" xfId="0" applyFont="1" applyAlignment="1">
      <alignment horizontal="left" vertical="center"/>
    </xf>
    <xf numFmtId="0" fontId="27" fillId="0" borderId="0" xfId="0" applyFont="1" applyAlignment="1">
      <alignment horizontal="center" vertical="center" wrapText="1"/>
    </xf>
    <xf numFmtId="0" fontId="20" fillId="12" borderId="7" xfId="2" applyFont="1" applyFill="1" applyBorder="1" applyAlignment="1">
      <alignment horizontal="center"/>
    </xf>
  </cellXfs>
  <cellStyles count="5">
    <cellStyle name="Milliers" xfId="1" builtinId="3"/>
    <cellStyle name="Normal" xfId="0" builtinId="0"/>
    <cellStyle name="Normal 2" xfId="4"/>
    <cellStyle name="Normal_XXXnnnCn-CRL-YYYnn_TRI_date" xfId="2"/>
    <cellStyle name="Pourcentage" xfId="3" builtinId="5"/>
  </cellStyles>
  <dxfs count="1446">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mp"/></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3.jpeg"/><Relationship Id="rId1" Type="http://schemas.openxmlformats.org/officeDocument/2006/relationships/image" Target="../media/image4.jpe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3.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714375</xdr:colOff>
      <xdr:row>11</xdr:row>
      <xdr:rowOff>38100</xdr:rowOff>
    </xdr:from>
    <xdr:to>
      <xdr:col>1</xdr:col>
      <xdr:colOff>5020276</xdr:colOff>
      <xdr:row>16</xdr:row>
      <xdr:rowOff>57267</xdr:rowOff>
    </xdr:to>
    <xdr:pic>
      <xdr:nvPicPr>
        <xdr:cNvPr id="2" name="Image 1" descr="Capture d’écra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5475" y="3695700"/>
          <a:ext cx="4305901" cy="8383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1781175</xdr:colOff>
          <xdr:row>1</xdr:row>
          <xdr:rowOff>85725</xdr:rowOff>
        </xdr:from>
        <xdr:to>
          <xdr:col>1</xdr:col>
          <xdr:colOff>3467100</xdr:colOff>
          <xdr:row>2</xdr:row>
          <xdr:rowOff>19050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Extraction synthèse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1829</xdr:col>
          <xdr:colOff>228600</xdr:colOff>
          <xdr:row>5454</xdr:row>
          <xdr:rowOff>47625</xdr:rowOff>
        </xdr:from>
        <xdr:ext cx="3295650" cy="209550"/>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wrap="none" lIns="18288" tIns="22860" rIns="18288" bIns="22860" anchor="ctr" upright="1">
              <a:spAutoFit/>
            </a:bodyPr>
            <a:lstStyle/>
            <a:p>
              <a:pPr algn="ctr" rtl="0">
                <a:defRPr sz="1000"/>
              </a:pPr>
              <a:r>
                <a:rPr lang="fr-FR" sz="1000" b="0" i="0" u="none" strike="noStrike" baseline="0">
                  <a:solidFill>
                    <a:srgbClr val="000000"/>
                  </a:solidFill>
                  <a:latin typeface="Arial"/>
                  <a:cs typeface="Arial"/>
                </a:rPr>
                <a:t>Enregistrer le nombre d'exigences par état à la date du jour</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trlProp" Target="../ctrlProps/ctrlProp1.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ctrlProp" Target="../ctrlProps/ctrlProp2.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aide" enableFormatConditionsCalculation="0">
    <tabColor indexed="45"/>
    <pageSetUpPr fitToPage="1"/>
  </sheetPr>
  <dimension ref="A1:F35"/>
  <sheetViews>
    <sheetView showGridLines="0" topLeftCell="A25" zoomScaleNormal="100" workbookViewId="0">
      <selection activeCell="B19" sqref="B19"/>
    </sheetView>
  </sheetViews>
  <sheetFormatPr baseColWidth="10" defaultRowHeight="12.75" x14ac:dyDescent="0.2"/>
  <cols>
    <col min="1" max="1" width="17.7109375" style="1" customWidth="1"/>
    <col min="2" max="2" width="99.140625" customWidth="1"/>
    <col min="3" max="3" width="21.140625" customWidth="1"/>
  </cols>
  <sheetData>
    <row r="1" spans="1:6" ht="13.5" thickBot="1" x14ac:dyDescent="0.25"/>
    <row r="2" spans="1:6" ht="24" customHeight="1" x14ac:dyDescent="0.2">
      <c r="B2" s="106" t="s">
        <v>140</v>
      </c>
      <c r="C2" s="23"/>
      <c r="D2" s="14"/>
      <c r="E2" s="14"/>
      <c r="F2" s="14"/>
    </row>
    <row r="3" spans="1:6" ht="32.25" customHeight="1" thickBot="1" x14ac:dyDescent="0.25">
      <c r="B3" s="101" t="s">
        <v>111</v>
      </c>
      <c r="C3" s="23"/>
      <c r="D3" s="14"/>
      <c r="E3" s="14"/>
      <c r="F3" s="14"/>
    </row>
    <row r="4" spans="1:6" x14ac:dyDescent="0.2">
      <c r="C4" s="23"/>
      <c r="D4" s="14"/>
      <c r="E4" s="14"/>
      <c r="F4" s="14"/>
    </row>
    <row r="5" spans="1:6" ht="38.25" x14ac:dyDescent="0.2">
      <c r="B5" s="37" t="s">
        <v>143</v>
      </c>
      <c r="C5" s="23"/>
      <c r="D5" s="14"/>
      <c r="E5" s="14"/>
      <c r="F5" s="14"/>
    </row>
    <row r="6" spans="1:6" ht="13.5" thickBot="1" x14ac:dyDescent="0.25">
      <c r="C6" s="23"/>
      <c r="D6" s="14"/>
      <c r="E6" s="14"/>
      <c r="F6" s="14"/>
    </row>
    <row r="7" spans="1:6" x14ac:dyDescent="0.2">
      <c r="B7" s="42" t="s">
        <v>46</v>
      </c>
      <c r="C7" s="23"/>
      <c r="D7" s="14"/>
      <c r="E7" s="14"/>
      <c r="F7" s="14"/>
    </row>
    <row r="8" spans="1:6" ht="38.25" x14ac:dyDescent="0.2">
      <c r="B8" s="43" t="s">
        <v>142</v>
      </c>
      <c r="C8" s="23"/>
      <c r="D8" s="14"/>
      <c r="E8" s="14"/>
      <c r="F8" s="14"/>
    </row>
    <row r="9" spans="1:6" ht="77.25" thickBot="1" x14ac:dyDescent="0.25">
      <c r="B9" s="44" t="s">
        <v>141</v>
      </c>
      <c r="C9" s="23"/>
      <c r="D9" s="14"/>
      <c r="E9" s="14"/>
      <c r="F9" s="14"/>
    </row>
    <row r="11" spans="1:6" x14ac:dyDescent="0.2">
      <c r="A11" s="244" t="s">
        <v>148</v>
      </c>
      <c r="B11" s="118" t="s">
        <v>146</v>
      </c>
    </row>
    <row r="12" spans="1:6" x14ac:dyDescent="0.2">
      <c r="A12" s="244"/>
      <c r="B12" s="118" t="s">
        <v>147</v>
      </c>
    </row>
    <row r="16" spans="1:6" ht="13.5" thickBot="1" x14ac:dyDescent="0.25"/>
    <row r="17" spans="1:3" ht="26.25" thickBot="1" x14ac:dyDescent="0.25">
      <c r="A17" s="24" t="s">
        <v>34</v>
      </c>
      <c r="C17" s="32" t="s">
        <v>38</v>
      </c>
    </row>
    <row r="18" spans="1:3" ht="77.25" thickBot="1" x14ac:dyDescent="0.25">
      <c r="A18" s="30" t="s">
        <v>31</v>
      </c>
      <c r="B18" s="41" t="s">
        <v>72</v>
      </c>
      <c r="C18" s="34" t="s">
        <v>39</v>
      </c>
    </row>
    <row r="19" spans="1:3" ht="13.5" thickBot="1" x14ac:dyDescent="0.25">
      <c r="B19" s="1"/>
    </row>
    <row r="20" spans="1:3" ht="26.25" thickBot="1" x14ac:dyDescent="0.25">
      <c r="A20" s="25" t="s">
        <v>68</v>
      </c>
    </row>
    <row r="21" spans="1:3" ht="77.25" thickBot="1" x14ac:dyDescent="0.25">
      <c r="A21" s="29" t="s">
        <v>32</v>
      </c>
      <c r="B21" s="41" t="s">
        <v>69</v>
      </c>
      <c r="C21" s="34" t="s">
        <v>39</v>
      </c>
    </row>
    <row r="22" spans="1:3" ht="13.5" thickBot="1" x14ac:dyDescent="0.25">
      <c r="B22" s="1"/>
    </row>
    <row r="23" spans="1:3" ht="51.75" thickBot="1" x14ac:dyDescent="0.25">
      <c r="A23" s="26" t="s">
        <v>11</v>
      </c>
    </row>
    <row r="24" spans="1:3" ht="147.75" customHeight="1" thickBot="1" x14ac:dyDescent="0.25">
      <c r="A24" s="28" t="s">
        <v>33</v>
      </c>
      <c r="B24" s="65" t="s">
        <v>3</v>
      </c>
      <c r="C24" s="34" t="s">
        <v>42</v>
      </c>
    </row>
    <row r="25" spans="1:3" ht="13.5" thickBot="1" x14ac:dyDescent="0.25">
      <c r="B25" s="1"/>
    </row>
    <row r="26" spans="1:3" ht="47.25" customHeight="1" thickBot="1" x14ac:dyDescent="0.25">
      <c r="A26" s="27" t="s">
        <v>12</v>
      </c>
      <c r="B26" s="35" t="s">
        <v>67</v>
      </c>
    </row>
    <row r="27" spans="1:3" ht="18.75" customHeight="1" x14ac:dyDescent="0.2">
      <c r="A27" s="66"/>
      <c r="B27" s="67" t="s">
        <v>0</v>
      </c>
    </row>
    <row r="28" spans="1:3" ht="325.5" customHeight="1" thickBot="1" x14ac:dyDescent="0.25">
      <c r="A28" s="38" t="s">
        <v>35</v>
      </c>
      <c r="B28" s="68" t="s">
        <v>1</v>
      </c>
      <c r="C28" s="33" t="s">
        <v>43</v>
      </c>
    </row>
    <row r="29" spans="1:3" ht="65.25" thickTop="1" thickBot="1" x14ac:dyDescent="0.25">
      <c r="A29" s="39" t="s">
        <v>36</v>
      </c>
      <c r="B29" s="41" t="s">
        <v>4</v>
      </c>
      <c r="C29" t="s">
        <v>44</v>
      </c>
    </row>
    <row r="30" spans="1:3" ht="52.5" thickTop="1" thickBot="1" x14ac:dyDescent="0.25">
      <c r="A30" s="39" t="s">
        <v>37</v>
      </c>
      <c r="B30" s="41" t="s">
        <v>5</v>
      </c>
      <c r="C30" t="s">
        <v>45</v>
      </c>
    </row>
    <row r="31" spans="1:3" ht="39.75" thickTop="1" thickBot="1" x14ac:dyDescent="0.25">
      <c r="A31" s="40" t="s">
        <v>70</v>
      </c>
      <c r="B31" s="41" t="s">
        <v>2</v>
      </c>
      <c r="C31" t="s">
        <v>71</v>
      </c>
    </row>
    <row r="32" spans="1:3" x14ac:dyDescent="0.2">
      <c r="B32" s="31"/>
    </row>
    <row r="33" spans="2:2" x14ac:dyDescent="0.2">
      <c r="B33" s="31"/>
    </row>
    <row r="34" spans="2:2" x14ac:dyDescent="0.2">
      <c r="B34" s="31"/>
    </row>
    <row r="35" spans="2:2" x14ac:dyDescent="0.2">
      <c r="B35" s="31"/>
    </row>
  </sheetData>
  <mergeCells count="1">
    <mergeCell ref="A11:A12"/>
  </mergeCells>
  <phoneticPr fontId="5" type="noConversion"/>
  <printOptions horizontalCentered="1" verticalCentered="1"/>
  <pageMargins left="0.39370078740157483" right="0.39370078740157483" top="0.35433070866141736" bottom="0.62992125984251968" header="0.31496062992125984" footer="0.15748031496062992"/>
  <pageSetup paperSize="9" scale="58" orientation="portrait" verticalDpi="300" r:id="rId1"/>
  <headerFooter alignWithMargins="0">
    <oddHeader>&amp;L&amp;G&amp;R
&amp;F</oddHeader>
    <oddFooter>&amp;LRef_Exigences / 1.60 / mars16&amp;CInterne Orange Applications for Business&amp;R&amp;P/&amp;N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prop_ref" enableFormatConditionsCalculation="0">
    <tabColor indexed="10"/>
    <pageSetUpPr fitToPage="1"/>
  </sheetPr>
  <dimension ref="B1:E26"/>
  <sheetViews>
    <sheetView showGridLines="0" zoomScaleNormal="100" workbookViewId="0">
      <selection activeCell="B51" sqref="B51"/>
    </sheetView>
  </sheetViews>
  <sheetFormatPr baseColWidth="10" defaultRowHeight="12.75" x14ac:dyDescent="0.2"/>
  <cols>
    <col min="1" max="1" width="4.140625" customWidth="1"/>
    <col min="2" max="2" width="25.42578125" customWidth="1"/>
    <col min="3" max="3" width="12.7109375" bestFit="1" customWidth="1"/>
    <col min="4" max="4" width="57.28515625" customWidth="1"/>
    <col min="5" max="5" width="3.85546875" customWidth="1"/>
  </cols>
  <sheetData>
    <row r="1" spans="2:5" x14ac:dyDescent="0.2">
      <c r="B1" s="61" t="s">
        <v>60</v>
      </c>
    </row>
    <row r="2" spans="2:5" ht="13.5" thickBot="1" x14ac:dyDescent="0.25">
      <c r="B2" s="56" t="s">
        <v>61</v>
      </c>
    </row>
    <row r="3" spans="2:5" x14ac:dyDescent="0.2">
      <c r="B3" s="51" t="s">
        <v>58</v>
      </c>
      <c r="C3" s="52" t="s">
        <v>156</v>
      </c>
      <c r="D3" s="50"/>
      <c r="E3" s="45"/>
    </row>
    <row r="4" spans="2:5" x14ac:dyDescent="0.2">
      <c r="B4" s="53"/>
      <c r="C4" s="54"/>
      <c r="E4" s="45"/>
    </row>
    <row r="5" spans="2:5" x14ac:dyDescent="0.2">
      <c r="B5" s="53" t="s">
        <v>57</v>
      </c>
      <c r="C5" s="55" t="s">
        <v>47</v>
      </c>
      <c r="D5" t="str">
        <f>VLOOKUP(C5,Paramètres!$F$2:$G$4,2)</f>
        <v>PRJ</v>
      </c>
      <c r="E5" s="45"/>
    </row>
    <row r="6" spans="2:5" x14ac:dyDescent="0.2">
      <c r="B6" s="53"/>
      <c r="C6" s="54"/>
      <c r="E6" s="45"/>
    </row>
    <row r="7" spans="2:5" x14ac:dyDescent="0.2">
      <c r="B7" s="53" t="s">
        <v>56</v>
      </c>
      <c r="C7" s="55" t="s">
        <v>50</v>
      </c>
      <c r="E7" s="45"/>
    </row>
    <row r="8" spans="2:5" ht="13.5" thickBot="1" x14ac:dyDescent="0.25">
      <c r="B8" s="53"/>
      <c r="C8" s="54"/>
    </row>
    <row r="9" spans="2:5" ht="13.5" thickBot="1" x14ac:dyDescent="0.25">
      <c r="B9" s="153" t="s">
        <v>123</v>
      </c>
      <c r="C9" s="48" t="str">
        <f>CONCATENATE(C3,"_EXIGENCES_",D5,".xls")</f>
        <v>MODPT_EXIGENCES_PRJ.xls</v>
      </c>
      <c r="D9" s="49"/>
      <c r="E9" s="45"/>
    </row>
    <row r="12" spans="2:5" x14ac:dyDescent="0.2">
      <c r="B12" s="2" t="s">
        <v>59</v>
      </c>
    </row>
    <row r="13" spans="2:5" x14ac:dyDescent="0.2">
      <c r="B13" s="56" t="s">
        <v>62</v>
      </c>
    </row>
    <row r="14" spans="2:5" x14ac:dyDescent="0.2">
      <c r="B14" s="64" t="s">
        <v>124</v>
      </c>
      <c r="C14" s="46" t="s">
        <v>51</v>
      </c>
      <c r="D14" s="47" t="s">
        <v>52</v>
      </c>
    </row>
    <row r="15" spans="2:5" x14ac:dyDescent="0.2">
      <c r="B15" s="150" t="s">
        <v>151</v>
      </c>
      <c r="C15" s="152"/>
      <c r="D15" s="151" t="s">
        <v>55</v>
      </c>
    </row>
    <row r="16" spans="2:5" x14ac:dyDescent="0.2">
      <c r="B16" s="156"/>
      <c r="C16" s="152"/>
      <c r="D16" s="155"/>
    </row>
    <row r="17" spans="2:4" x14ac:dyDescent="0.2">
      <c r="B17" s="157"/>
      <c r="C17" s="158"/>
      <c r="D17" s="159"/>
    </row>
    <row r="18" spans="2:4" x14ac:dyDescent="0.2">
      <c r="B18" s="108"/>
      <c r="C18" s="9"/>
      <c r="D18" s="62"/>
    </row>
    <row r="19" spans="2:4" x14ac:dyDescent="0.2">
      <c r="B19" s="108"/>
      <c r="C19" s="9"/>
      <c r="D19" s="62"/>
    </row>
    <row r="20" spans="2:4" x14ac:dyDescent="0.2">
      <c r="B20" s="108"/>
      <c r="C20" s="9"/>
      <c r="D20" s="62"/>
    </row>
    <row r="21" spans="2:4" x14ac:dyDescent="0.2">
      <c r="B21" s="108"/>
      <c r="C21" s="9"/>
      <c r="D21" s="62"/>
    </row>
    <row r="22" spans="2:4" x14ac:dyDescent="0.2">
      <c r="B22" s="108"/>
      <c r="C22" s="9"/>
      <c r="D22" s="62"/>
    </row>
    <row r="23" spans="2:4" x14ac:dyDescent="0.2">
      <c r="B23" s="108"/>
      <c r="C23" s="9"/>
      <c r="D23" s="62"/>
    </row>
    <row r="24" spans="2:4" x14ac:dyDescent="0.2">
      <c r="B24" s="108"/>
      <c r="C24" s="9"/>
      <c r="D24" s="62"/>
    </row>
    <row r="25" spans="2:4" x14ac:dyDescent="0.2">
      <c r="B25" s="108"/>
      <c r="C25" s="9"/>
      <c r="D25" s="62"/>
    </row>
    <row r="26" spans="2:4" ht="13.5" thickBot="1" x14ac:dyDescent="0.25">
      <c r="B26" s="109"/>
      <c r="C26" s="10"/>
      <c r="D26" s="63"/>
    </row>
  </sheetData>
  <phoneticPr fontId="5" type="noConversion"/>
  <dataValidations count="2">
    <dataValidation type="list" allowBlank="1" showInputMessage="1" showErrorMessage="1" sqref="C5">
      <formula1>Etape</formula1>
    </dataValidation>
    <dataValidation type="textLength" operator="equal" allowBlank="1" showInputMessage="1" showErrorMessage="1" promptTitle="Ver_Ref" prompt="Saisir une version au format 1.00" sqref="C7">
      <formula1>4</formula1>
    </dataValidation>
  </dataValidations>
  <printOptions horizontalCentered="1" verticalCentered="1"/>
  <pageMargins left="0.78740157480314965" right="0.39370078740157483" top="0.35433070866141736" bottom="0.62992125984251968" header="0.31496062992125984" footer="0.15748031496062992"/>
  <pageSetup paperSize="9" orientation="landscape" r:id="rId1"/>
  <headerFooter alignWithMargins="0">
    <oddHeader>&amp;L&amp;G&amp;R
&amp;F</oddHeader>
    <oddFooter>&amp;LRef_Exigences / 1.60 / mars16&amp;CInterne Orange Applications for Business&amp;R&amp;P/&amp;N</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organisationnelle" enableFormatConditionsCalculation="0">
    <tabColor indexed="11"/>
    <pageSetUpPr fitToPage="1"/>
  </sheetPr>
  <dimension ref="A1:T27"/>
  <sheetViews>
    <sheetView showGridLines="0" zoomScaleNormal="100" workbookViewId="0">
      <selection activeCell="C34" sqref="C34"/>
    </sheetView>
  </sheetViews>
  <sheetFormatPr baseColWidth="10" defaultRowHeight="12.75" x14ac:dyDescent="0.2"/>
  <cols>
    <col min="1" max="1" width="4.85546875" style="126" customWidth="1"/>
    <col min="2" max="2" width="43.85546875" style="124" customWidth="1"/>
    <col min="3" max="3" width="45.7109375" style="124" customWidth="1"/>
    <col min="4" max="6" width="10.7109375" style="124" customWidth="1"/>
    <col min="7" max="7" width="9.85546875" style="124" bestFit="1" customWidth="1"/>
    <col min="8" max="8" width="10.28515625" style="124" hidden="1" customWidth="1"/>
    <col min="9" max="9" width="10.7109375" style="125" customWidth="1"/>
    <col min="10" max="10" width="9.7109375" style="125" hidden="1" customWidth="1"/>
    <col min="11" max="11" width="17.7109375" style="125" hidden="1" customWidth="1"/>
    <col min="12" max="12" width="13.5703125" style="125" hidden="1" customWidth="1"/>
    <col min="13" max="13" width="20.140625" style="124" hidden="1" customWidth="1"/>
    <col min="14" max="14" width="15.7109375" style="124" hidden="1" customWidth="1"/>
    <col min="15" max="15" width="10.7109375" style="125" hidden="1" customWidth="1"/>
    <col min="16" max="16" width="11.140625" style="124" customWidth="1"/>
    <col min="17" max="17" width="60" style="124" customWidth="1"/>
    <col min="18" max="18" width="14.28515625" bestFit="1" customWidth="1"/>
    <col min="20" max="20" width="9.42578125" bestFit="1" customWidth="1"/>
    <col min="21" max="21" width="12" bestFit="1" customWidth="1"/>
    <col min="22" max="22" width="7" customWidth="1"/>
    <col min="23" max="23" width="9" bestFit="1" customWidth="1"/>
  </cols>
  <sheetData>
    <row r="1" spans="1:20" ht="25.5" x14ac:dyDescent="0.2">
      <c r="B1" s="138" t="s">
        <v>10</v>
      </c>
      <c r="C1" s="105" t="s">
        <v>64</v>
      </c>
      <c r="D1" s="105"/>
      <c r="E1" s="105"/>
      <c r="F1" s="105"/>
      <c r="G1" s="105"/>
      <c r="H1" s="105"/>
      <c r="I1" s="105"/>
      <c r="J1" s="105"/>
      <c r="K1" s="105"/>
      <c r="L1" s="105"/>
      <c r="M1" s="105"/>
      <c r="N1" s="105"/>
      <c r="O1" s="105"/>
      <c r="P1" s="105"/>
      <c r="Q1" s="105"/>
      <c r="R1" s="105"/>
      <c r="S1" s="105"/>
      <c r="T1" s="105"/>
    </row>
    <row r="2" spans="1:20" ht="12.75" customHeight="1" x14ac:dyDescent="0.2">
      <c r="B2" s="246" t="s">
        <v>63</v>
      </c>
      <c r="C2" s="246"/>
      <c r="D2" s="246"/>
      <c r="E2" s="246"/>
      <c r="F2" s="246"/>
      <c r="G2" s="246"/>
      <c r="H2" s="128"/>
      <c r="I2" s="128"/>
      <c r="J2" s="128"/>
      <c r="K2" s="128"/>
      <c r="L2" s="128"/>
      <c r="M2" s="128"/>
      <c r="N2" s="128"/>
      <c r="O2" s="128"/>
      <c r="P2" s="128"/>
      <c r="Q2" s="128"/>
      <c r="R2" s="111"/>
    </row>
    <row r="3" spans="1:20" x14ac:dyDescent="0.2">
      <c r="B3" s="245" t="s">
        <v>41</v>
      </c>
      <c r="C3" s="245"/>
      <c r="D3" s="245"/>
      <c r="E3" s="245"/>
      <c r="F3" s="245"/>
      <c r="G3" s="245"/>
      <c r="H3" s="245"/>
      <c r="I3" s="245"/>
      <c r="J3" s="245"/>
      <c r="K3" s="245"/>
      <c r="L3" s="245"/>
      <c r="M3" s="130"/>
      <c r="N3" s="130"/>
      <c r="O3" s="130"/>
      <c r="P3" s="129"/>
      <c r="Q3" s="129"/>
      <c r="R3" s="13"/>
    </row>
    <row r="4" spans="1:20" ht="13.5" thickBot="1" x14ac:dyDescent="0.25">
      <c r="B4" s="123"/>
      <c r="C4" s="123"/>
      <c r="D4" s="123"/>
      <c r="E4" s="123"/>
      <c r="F4" s="123"/>
      <c r="G4" s="123"/>
      <c r="H4" s="123"/>
      <c r="I4" s="123"/>
      <c r="J4" s="123"/>
      <c r="K4" s="123"/>
      <c r="L4" s="123"/>
      <c r="M4" s="123"/>
      <c r="N4" s="123"/>
      <c r="O4" s="123"/>
      <c r="P4" s="123"/>
      <c r="Q4" s="123"/>
    </row>
    <row r="5" spans="1:20" s="85" customFormat="1" ht="11.25" x14ac:dyDescent="0.2">
      <c r="A5" s="127"/>
      <c r="B5" s="86" t="s">
        <v>94</v>
      </c>
      <c r="C5" s="87" t="s">
        <v>95</v>
      </c>
      <c r="D5" s="87" t="s">
        <v>96</v>
      </c>
      <c r="E5" s="87"/>
      <c r="F5" s="87"/>
      <c r="G5" s="87"/>
      <c r="H5" s="87"/>
      <c r="I5" s="87"/>
      <c r="J5" s="88"/>
      <c r="K5" s="88"/>
      <c r="L5" s="88"/>
      <c r="M5" s="87"/>
      <c r="N5" s="87"/>
      <c r="O5" s="93"/>
      <c r="P5" s="93"/>
      <c r="Q5" s="94"/>
    </row>
    <row r="6" spans="1:20" s="85" customFormat="1" ht="12" thickBot="1" x14ac:dyDescent="0.25">
      <c r="A6" s="127"/>
      <c r="B6" s="89">
        <f>COUNTA(B8:B988)</f>
        <v>0</v>
      </c>
      <c r="C6" s="90">
        <f>SUBTOTAL(3,B8:B988)</f>
        <v>0</v>
      </c>
      <c r="D6" s="91">
        <f>IF(C6=0,0,$C$6/$B$6)</f>
        <v>0</v>
      </c>
      <c r="E6" s="91"/>
      <c r="F6" s="91"/>
      <c r="G6" s="90"/>
      <c r="H6" s="90"/>
      <c r="I6" s="90"/>
      <c r="J6" s="92"/>
      <c r="K6" s="92"/>
      <c r="L6" s="92"/>
      <c r="M6" s="90"/>
      <c r="N6" s="90"/>
      <c r="P6" s="96"/>
      <c r="Q6" s="95"/>
    </row>
    <row r="7" spans="1:20" ht="42.75" customHeight="1" thickBot="1" x14ac:dyDescent="0.25">
      <c r="B7" s="11" t="s">
        <v>14</v>
      </c>
      <c r="C7" s="12" t="s">
        <v>13</v>
      </c>
      <c r="D7" s="12" t="s">
        <v>126</v>
      </c>
      <c r="E7" s="12" t="s">
        <v>110</v>
      </c>
      <c r="F7" s="12" t="s">
        <v>101</v>
      </c>
      <c r="G7" s="12" t="s">
        <v>128</v>
      </c>
      <c r="H7" s="12" t="s">
        <v>127</v>
      </c>
      <c r="I7" s="12" t="s">
        <v>108</v>
      </c>
      <c r="J7" s="12" t="s">
        <v>15</v>
      </c>
      <c r="K7" s="12" t="s">
        <v>30</v>
      </c>
      <c r="L7" s="12" t="s">
        <v>120</v>
      </c>
      <c r="M7" s="12" t="s">
        <v>74</v>
      </c>
      <c r="N7" s="12" t="s">
        <v>75</v>
      </c>
      <c r="O7" s="12" t="s">
        <v>130</v>
      </c>
      <c r="P7" s="12" t="s">
        <v>66</v>
      </c>
      <c r="Q7" s="36" t="s">
        <v>129</v>
      </c>
    </row>
    <row r="8" spans="1:20" x14ac:dyDescent="0.2">
      <c r="A8" s="126">
        <v>1</v>
      </c>
      <c r="B8" s="139"/>
      <c r="C8" s="131"/>
      <c r="D8" s="120"/>
      <c r="E8" s="120"/>
      <c r="F8" s="120"/>
      <c r="G8" s="120"/>
      <c r="H8" s="120"/>
      <c r="I8" s="120"/>
      <c r="J8" s="132"/>
      <c r="K8" s="140"/>
      <c r="L8" s="132"/>
      <c r="M8" s="120"/>
      <c r="N8" s="120"/>
      <c r="O8" s="141"/>
      <c r="P8" s="141"/>
      <c r="Q8" s="142"/>
    </row>
    <row r="9" spans="1:20" x14ac:dyDescent="0.2">
      <c r="A9" s="126">
        <v>2</v>
      </c>
      <c r="B9" s="139"/>
      <c r="C9" s="131"/>
      <c r="D9" s="120"/>
      <c r="E9" s="120"/>
      <c r="F9" s="120"/>
      <c r="G9" s="120"/>
      <c r="H9" s="120"/>
      <c r="I9" s="120"/>
      <c r="J9" s="132"/>
      <c r="K9" s="131"/>
      <c r="L9" s="132"/>
      <c r="M9" s="120"/>
      <c r="N9" s="120"/>
      <c r="O9" s="122"/>
      <c r="P9" s="122"/>
      <c r="Q9" s="137"/>
    </row>
    <row r="10" spans="1:20" x14ac:dyDescent="0.2">
      <c r="A10" s="126">
        <v>3</v>
      </c>
      <c r="B10" s="139"/>
      <c r="C10" s="131"/>
      <c r="D10" s="120"/>
      <c r="E10" s="120"/>
      <c r="F10" s="120"/>
      <c r="G10" s="120"/>
      <c r="H10" s="120"/>
      <c r="I10" s="120"/>
      <c r="J10" s="132"/>
      <c r="K10" s="133"/>
      <c r="L10" s="132"/>
      <c r="M10" s="120"/>
      <c r="N10" s="120"/>
      <c r="O10" s="134"/>
      <c r="P10" s="134"/>
      <c r="Q10" s="143"/>
    </row>
    <row r="11" spans="1:20" x14ac:dyDescent="0.2">
      <c r="A11" s="126">
        <v>4</v>
      </c>
      <c r="B11" s="139"/>
      <c r="C11" s="136"/>
      <c r="D11" s="120"/>
      <c r="E11" s="135"/>
      <c r="F11" s="120"/>
      <c r="G11" s="120"/>
      <c r="H11" s="120"/>
      <c r="I11" s="120"/>
      <c r="J11" s="132"/>
      <c r="K11" s="131"/>
      <c r="L11" s="132"/>
      <c r="M11" s="120"/>
      <c r="N11" s="120"/>
      <c r="O11" s="122"/>
      <c r="P11" s="122"/>
      <c r="Q11" s="137"/>
    </row>
    <row r="12" spans="1:20" x14ac:dyDescent="0.2">
      <c r="A12" s="126">
        <f t="shared" ref="A12:A27" si="0">A11+1</f>
        <v>5</v>
      </c>
      <c r="B12" s="139"/>
      <c r="C12" s="136"/>
      <c r="D12" s="120"/>
      <c r="E12" s="135"/>
      <c r="F12" s="120"/>
      <c r="G12" s="120"/>
      <c r="H12" s="120"/>
      <c r="I12" s="120"/>
      <c r="J12" s="132"/>
      <c r="K12" s="131"/>
      <c r="L12" s="132"/>
      <c r="M12" s="120"/>
      <c r="N12" s="120"/>
      <c r="O12" s="122"/>
      <c r="P12" s="122"/>
      <c r="Q12" s="137"/>
    </row>
    <row r="13" spans="1:20" x14ac:dyDescent="0.2">
      <c r="A13" s="126">
        <f t="shared" si="0"/>
        <v>6</v>
      </c>
      <c r="B13" s="139"/>
      <c r="C13" s="136"/>
      <c r="D13" s="120"/>
      <c r="E13" s="135"/>
      <c r="F13" s="120"/>
      <c r="G13" s="120"/>
      <c r="H13" s="120"/>
      <c r="I13" s="120"/>
      <c r="J13" s="132"/>
      <c r="K13" s="131"/>
      <c r="L13" s="132"/>
      <c r="M13" s="120"/>
      <c r="N13" s="120"/>
      <c r="O13" s="122"/>
      <c r="P13" s="122"/>
      <c r="Q13" s="137"/>
    </row>
    <row r="14" spans="1:20" x14ac:dyDescent="0.2">
      <c r="A14" s="126">
        <f t="shared" si="0"/>
        <v>7</v>
      </c>
      <c r="B14" s="139"/>
      <c r="C14" s="136"/>
      <c r="D14" s="120"/>
      <c r="E14" s="135"/>
      <c r="F14" s="120"/>
      <c r="G14" s="120"/>
      <c r="H14" s="120"/>
      <c r="I14" s="120"/>
      <c r="J14" s="132"/>
      <c r="K14" s="131"/>
      <c r="L14" s="132"/>
      <c r="M14" s="120"/>
      <c r="N14" s="120"/>
      <c r="O14" s="122"/>
      <c r="P14" s="122"/>
      <c r="Q14" s="137"/>
    </row>
    <row r="15" spans="1:20" x14ac:dyDescent="0.2">
      <c r="A15" s="126">
        <f t="shared" si="0"/>
        <v>8</v>
      </c>
      <c r="B15" s="139"/>
      <c r="C15" s="136"/>
      <c r="D15" s="120"/>
      <c r="E15" s="135"/>
      <c r="F15" s="120"/>
      <c r="G15" s="120"/>
      <c r="H15" s="120"/>
      <c r="I15" s="121"/>
      <c r="J15" s="132"/>
      <c r="K15" s="131"/>
      <c r="L15" s="132"/>
      <c r="M15" s="120"/>
      <c r="N15" s="120"/>
      <c r="O15" s="122"/>
      <c r="P15" s="122"/>
      <c r="Q15" s="137"/>
    </row>
    <row r="16" spans="1:20" x14ac:dyDescent="0.2">
      <c r="A16" s="126">
        <f t="shared" si="0"/>
        <v>9</v>
      </c>
      <c r="B16" s="139"/>
      <c r="C16" s="136"/>
      <c r="D16" s="120"/>
      <c r="E16" s="135"/>
      <c r="F16" s="120"/>
      <c r="G16" s="120"/>
      <c r="H16" s="120"/>
      <c r="I16" s="121"/>
      <c r="J16" s="132"/>
      <c r="K16" s="131"/>
      <c r="L16" s="132"/>
      <c r="M16" s="120"/>
      <c r="N16" s="120"/>
      <c r="O16" s="122"/>
      <c r="P16" s="122"/>
      <c r="Q16" s="137"/>
    </row>
    <row r="17" spans="1:17" x14ac:dyDescent="0.2">
      <c r="A17" s="126">
        <f t="shared" si="0"/>
        <v>10</v>
      </c>
      <c r="B17" s="139"/>
      <c r="C17" s="136"/>
      <c r="D17" s="120"/>
      <c r="E17" s="135"/>
      <c r="F17" s="120"/>
      <c r="G17" s="120"/>
      <c r="H17" s="120"/>
      <c r="I17" s="121"/>
      <c r="J17" s="132"/>
      <c r="K17" s="131"/>
      <c r="L17" s="132"/>
      <c r="M17" s="120"/>
      <c r="N17" s="120"/>
      <c r="O17" s="122"/>
      <c r="P17" s="122"/>
      <c r="Q17" s="137"/>
    </row>
    <row r="18" spans="1:17" x14ac:dyDescent="0.2">
      <c r="A18" s="126">
        <f t="shared" si="0"/>
        <v>11</v>
      </c>
      <c r="B18" s="139"/>
      <c r="C18" s="136"/>
      <c r="D18" s="120"/>
      <c r="E18" s="135"/>
      <c r="F18" s="120"/>
      <c r="G18" s="120"/>
      <c r="H18" s="120"/>
      <c r="I18" s="121"/>
      <c r="J18" s="132"/>
      <c r="K18" s="131"/>
      <c r="L18" s="132"/>
      <c r="M18" s="120"/>
      <c r="N18" s="120"/>
      <c r="O18" s="122"/>
      <c r="P18" s="122"/>
      <c r="Q18" s="137"/>
    </row>
    <row r="19" spans="1:17" x14ac:dyDescent="0.2">
      <c r="A19" s="126">
        <f t="shared" si="0"/>
        <v>12</v>
      </c>
      <c r="B19" s="139"/>
      <c r="C19" s="136"/>
      <c r="D19" s="120"/>
      <c r="E19" s="135"/>
      <c r="F19" s="120"/>
      <c r="G19" s="120"/>
      <c r="H19" s="120"/>
      <c r="I19" s="121"/>
      <c r="J19" s="132"/>
      <c r="K19" s="131"/>
      <c r="L19" s="132"/>
      <c r="M19" s="120"/>
      <c r="N19" s="120"/>
      <c r="O19" s="122"/>
      <c r="P19" s="122"/>
      <c r="Q19" s="137"/>
    </row>
    <row r="20" spans="1:17" x14ac:dyDescent="0.2">
      <c r="A20" s="126">
        <f t="shared" si="0"/>
        <v>13</v>
      </c>
      <c r="B20" s="139"/>
      <c r="C20" s="136"/>
      <c r="D20" s="120"/>
      <c r="E20" s="135"/>
      <c r="F20" s="120"/>
      <c r="G20" s="120"/>
      <c r="H20" s="120"/>
      <c r="I20" s="121"/>
      <c r="J20" s="132"/>
      <c r="K20" s="131"/>
      <c r="L20" s="132"/>
      <c r="M20" s="120"/>
      <c r="N20" s="120"/>
      <c r="O20" s="122"/>
      <c r="P20" s="122"/>
      <c r="Q20" s="137"/>
    </row>
    <row r="21" spans="1:17" x14ac:dyDescent="0.2">
      <c r="A21" s="126">
        <f t="shared" si="0"/>
        <v>14</v>
      </c>
      <c r="B21" s="139"/>
      <c r="C21" s="136"/>
      <c r="D21" s="120"/>
      <c r="E21" s="135"/>
      <c r="F21" s="120"/>
      <c r="G21" s="120"/>
      <c r="H21" s="120"/>
      <c r="I21" s="121"/>
      <c r="J21" s="132"/>
      <c r="K21" s="131"/>
      <c r="L21" s="132"/>
      <c r="M21" s="120"/>
      <c r="N21" s="120"/>
      <c r="O21" s="122"/>
      <c r="P21" s="122"/>
      <c r="Q21" s="137"/>
    </row>
    <row r="22" spans="1:17" x14ac:dyDescent="0.2">
      <c r="A22" s="126">
        <f t="shared" si="0"/>
        <v>15</v>
      </c>
      <c r="B22" s="139"/>
      <c r="C22" s="136"/>
      <c r="D22" s="120"/>
      <c r="E22" s="135"/>
      <c r="F22" s="120"/>
      <c r="G22" s="120"/>
      <c r="H22" s="120"/>
      <c r="I22" s="121"/>
      <c r="J22" s="132"/>
      <c r="K22" s="131"/>
      <c r="L22" s="132"/>
      <c r="M22" s="120"/>
      <c r="N22" s="120"/>
      <c r="O22" s="122"/>
      <c r="P22" s="122"/>
      <c r="Q22" s="137"/>
    </row>
    <row r="23" spans="1:17" x14ac:dyDescent="0.2">
      <c r="A23" s="126">
        <f t="shared" si="0"/>
        <v>16</v>
      </c>
      <c r="B23" s="139"/>
      <c r="C23" s="136"/>
      <c r="D23" s="120"/>
      <c r="E23" s="135"/>
      <c r="F23" s="120"/>
      <c r="G23" s="120"/>
      <c r="H23" s="120"/>
      <c r="I23" s="121"/>
      <c r="J23" s="132"/>
      <c r="K23" s="131"/>
      <c r="L23" s="132"/>
      <c r="M23" s="120"/>
      <c r="N23" s="120"/>
      <c r="O23" s="122"/>
      <c r="P23" s="122"/>
      <c r="Q23" s="137"/>
    </row>
    <row r="24" spans="1:17" x14ac:dyDescent="0.2">
      <c r="A24" s="126">
        <f t="shared" si="0"/>
        <v>17</v>
      </c>
      <c r="B24" s="139"/>
      <c r="C24" s="136"/>
      <c r="D24" s="120"/>
      <c r="E24" s="135"/>
      <c r="F24" s="120"/>
      <c r="G24" s="120"/>
      <c r="H24" s="120"/>
      <c r="I24" s="121"/>
      <c r="J24" s="132"/>
      <c r="K24" s="131"/>
      <c r="L24" s="132"/>
      <c r="M24" s="120"/>
      <c r="N24" s="120"/>
      <c r="O24" s="122"/>
      <c r="P24" s="122"/>
      <c r="Q24" s="137"/>
    </row>
    <row r="25" spans="1:17" x14ac:dyDescent="0.2">
      <c r="A25" s="126">
        <f t="shared" si="0"/>
        <v>18</v>
      </c>
      <c r="B25" s="139"/>
      <c r="C25" s="136"/>
      <c r="D25" s="120"/>
      <c r="E25" s="135"/>
      <c r="F25" s="120"/>
      <c r="G25" s="120"/>
      <c r="H25" s="120"/>
      <c r="I25" s="121"/>
      <c r="J25" s="132"/>
      <c r="K25" s="131"/>
      <c r="L25" s="132"/>
      <c r="M25" s="120"/>
      <c r="N25" s="120"/>
      <c r="O25" s="122"/>
      <c r="P25" s="122"/>
      <c r="Q25" s="137"/>
    </row>
    <row r="26" spans="1:17" x14ac:dyDescent="0.2">
      <c r="A26" s="126">
        <f t="shared" si="0"/>
        <v>19</v>
      </c>
      <c r="B26" s="139"/>
      <c r="C26" s="136"/>
      <c r="D26" s="120"/>
      <c r="E26" s="135"/>
      <c r="F26" s="120"/>
      <c r="G26" s="120"/>
      <c r="H26" s="120"/>
      <c r="I26" s="121"/>
      <c r="J26" s="132"/>
      <c r="K26" s="131"/>
      <c r="L26" s="132"/>
      <c r="M26" s="120"/>
      <c r="N26" s="120"/>
      <c r="O26" s="122"/>
      <c r="P26" s="122"/>
      <c r="Q26" s="137"/>
    </row>
    <row r="27" spans="1:17" x14ac:dyDescent="0.2">
      <c r="A27" s="126">
        <f t="shared" si="0"/>
        <v>20</v>
      </c>
      <c r="B27" s="139"/>
      <c r="C27" s="136"/>
      <c r="D27" s="120"/>
      <c r="E27" s="135"/>
      <c r="F27" s="120"/>
      <c r="G27" s="120"/>
      <c r="H27" s="120"/>
      <c r="I27" s="121"/>
      <c r="J27" s="132"/>
      <c r="K27" s="131"/>
      <c r="L27" s="132"/>
      <c r="M27" s="120"/>
      <c r="N27" s="120"/>
      <c r="O27" s="122"/>
      <c r="P27" s="122"/>
      <c r="Q27" s="137"/>
    </row>
  </sheetData>
  <mergeCells count="2">
    <mergeCell ref="B3:L3"/>
    <mergeCell ref="B2:G2"/>
  </mergeCells>
  <phoneticPr fontId="5" type="noConversion"/>
  <conditionalFormatting sqref="O8:P27">
    <cfRule type="cellIs" dxfId="1445" priority="1" stopIfTrue="1" operator="equal">
      <formula>#REF!</formula>
    </cfRule>
  </conditionalFormatting>
  <dataValidations disablePrompts="1" count="5">
    <dataValidation type="list" allowBlank="1" showInputMessage="1" showErrorMessage="1" sqref="M8:M27">
      <formula1>Conformité</formula1>
    </dataValidation>
    <dataValidation type="list" allowBlank="1" showInputMessage="1" showErrorMessage="1" sqref="I8:I27">
      <formula1>Etat</formula1>
    </dataValidation>
    <dataValidation type="list" allowBlank="1" showInputMessage="1" showErrorMessage="1" sqref="D8:D27">
      <formula1>Priorité</formula1>
    </dataValidation>
    <dataValidation type="list" allowBlank="1" showInputMessage="1" showErrorMessage="1" sqref="G8:G27">
      <formula1>"1,2,3"</formula1>
    </dataValidation>
    <dataValidation type="list" allowBlank="1" showInputMessage="1" showErrorMessage="1" sqref="H8:H27">
      <formula1>"complexe,normale,simple"</formula1>
    </dataValidation>
  </dataValidations>
  <printOptions horizontalCentered="1" verticalCentered="1"/>
  <pageMargins left="0" right="0" top="0.35433070866141736" bottom="0.39370078740157483" header="0.31496062992125984" footer="0.15748031496062992"/>
  <pageSetup paperSize="9" scale="67" fitToHeight="2"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 enableFormatConditionsCalculation="0">
    <tabColor indexed="13"/>
    <pageSetUpPr fitToPage="1"/>
  </sheetPr>
  <dimension ref="A1:T66"/>
  <sheetViews>
    <sheetView showGridLines="0" topLeftCell="A7" zoomScale="110" zoomScaleNormal="110" workbookViewId="0">
      <selection activeCell="C13" sqref="C13"/>
    </sheetView>
  </sheetViews>
  <sheetFormatPr baseColWidth="10" defaultRowHeight="12.75" x14ac:dyDescent="0.2"/>
  <cols>
    <col min="1" max="1" width="4.85546875" style="211" customWidth="1"/>
    <col min="2" max="2" width="35.5703125" style="211" customWidth="1"/>
    <col min="3" max="3" width="112.140625" style="211" customWidth="1"/>
    <col min="4" max="4" width="9.85546875" style="211" bestFit="1" customWidth="1"/>
    <col min="5" max="5" width="11.42578125" style="211" customWidth="1"/>
    <col min="6" max="6" width="12" style="211" customWidth="1"/>
    <col min="7" max="7" width="9" style="211" customWidth="1"/>
    <col min="8" max="8" width="10.28515625" style="211" hidden="1" customWidth="1"/>
    <col min="9" max="9" width="13.42578125" style="212" customWidth="1"/>
    <col min="10" max="10" width="11.85546875" style="212" hidden="1" customWidth="1"/>
    <col min="11" max="11" width="11.28515625" style="212" hidden="1" customWidth="1"/>
    <col min="12" max="12" width="15.28515625" style="212" hidden="1" customWidth="1"/>
    <col min="13" max="13" width="17.28515625" style="212" hidden="1" customWidth="1"/>
    <col min="14" max="14" width="17.7109375" style="212" hidden="1" customWidth="1"/>
    <col min="15" max="15" width="10.7109375" style="212" hidden="1" customWidth="1"/>
    <col min="16" max="16" width="16.5703125" style="211" customWidth="1"/>
    <col min="17" max="17" width="56.42578125" style="211" customWidth="1"/>
    <col min="18" max="18" width="14.28515625" style="163" bestFit="1" customWidth="1"/>
    <col min="19" max="19" width="11.42578125" style="163"/>
    <col min="20" max="20" width="9.42578125" style="163" bestFit="1" customWidth="1"/>
    <col min="21" max="21" width="12" style="163" bestFit="1" customWidth="1"/>
    <col min="22" max="22" width="7" style="163" customWidth="1"/>
    <col min="23" max="23" width="9" style="163" bestFit="1" customWidth="1"/>
    <col min="24" max="16384" width="11.42578125" style="163"/>
  </cols>
  <sheetData>
    <row r="1" spans="1:20" x14ac:dyDescent="0.2">
      <c r="B1" s="161" t="s">
        <v>40</v>
      </c>
      <c r="C1" s="162" t="s">
        <v>158</v>
      </c>
      <c r="D1" s="162"/>
      <c r="E1" s="162"/>
      <c r="F1" s="162"/>
      <c r="G1" s="162"/>
      <c r="H1" s="162"/>
      <c r="I1" s="162"/>
      <c r="J1" s="162"/>
      <c r="K1" s="162"/>
      <c r="L1" s="162"/>
      <c r="M1" s="162"/>
      <c r="N1" s="162"/>
      <c r="O1" s="162"/>
      <c r="P1" s="162"/>
      <c r="Q1" s="162"/>
      <c r="R1" s="162"/>
      <c r="S1" s="162"/>
      <c r="T1" s="162"/>
    </row>
    <row r="2" spans="1:20" ht="12.75" customHeight="1" x14ac:dyDescent="0.2">
      <c r="B2" s="248" t="s">
        <v>159</v>
      </c>
      <c r="C2" s="248"/>
      <c r="D2" s="248"/>
      <c r="E2" s="248"/>
      <c r="F2" s="248"/>
      <c r="G2" s="248"/>
      <c r="H2" s="248"/>
      <c r="I2" s="248"/>
      <c r="J2" s="248"/>
      <c r="K2" s="248"/>
      <c r="L2" s="248"/>
      <c r="M2" s="248"/>
      <c r="N2" s="248"/>
      <c r="O2" s="248"/>
      <c r="P2" s="248"/>
      <c r="Q2" s="248"/>
      <c r="R2" s="248"/>
    </row>
    <row r="3" spans="1:20" x14ac:dyDescent="0.2">
      <c r="B3" s="247" t="s">
        <v>41</v>
      </c>
      <c r="C3" s="247"/>
      <c r="D3" s="247"/>
      <c r="E3" s="247"/>
      <c r="F3" s="247"/>
      <c r="G3" s="247"/>
      <c r="H3" s="247"/>
      <c r="I3" s="247"/>
      <c r="J3" s="247"/>
      <c r="K3" s="247"/>
      <c r="L3" s="247"/>
      <c r="M3" s="164"/>
      <c r="N3" s="164"/>
      <c r="O3" s="164"/>
      <c r="P3" s="165"/>
      <c r="Q3" s="165"/>
      <c r="R3" s="166"/>
    </row>
    <row r="4" spans="1:20" ht="13.5" thickBot="1" x14ac:dyDescent="0.25">
      <c r="B4" s="167"/>
      <c r="C4" s="167"/>
      <c r="D4" s="167"/>
      <c r="E4" s="167"/>
      <c r="F4" s="167"/>
      <c r="G4" s="167"/>
      <c r="H4" s="167"/>
      <c r="I4" s="167"/>
      <c r="J4" s="167"/>
      <c r="K4" s="167"/>
      <c r="L4" s="167"/>
      <c r="M4" s="167"/>
      <c r="N4" s="167"/>
      <c r="O4" s="167"/>
      <c r="P4" s="167"/>
      <c r="Q4" s="167"/>
    </row>
    <row r="5" spans="1:20" s="174" customFormat="1" ht="11.25" thickBot="1" x14ac:dyDescent="0.25">
      <c r="B5" s="169" t="s">
        <v>94</v>
      </c>
      <c r="C5" s="170" t="s">
        <v>95</v>
      </c>
      <c r="D5" s="170" t="s">
        <v>96</v>
      </c>
      <c r="E5" s="170"/>
      <c r="F5" s="170"/>
      <c r="G5" s="170"/>
      <c r="H5" s="170"/>
      <c r="I5" s="170"/>
      <c r="J5" s="171"/>
      <c r="K5" s="171"/>
      <c r="L5" s="171"/>
      <c r="M5" s="171"/>
      <c r="N5" s="171"/>
      <c r="O5" s="172"/>
      <c r="P5" s="172"/>
      <c r="Q5" s="173"/>
    </row>
    <row r="6" spans="1:20" s="174" customFormat="1" ht="11.25" thickBot="1" x14ac:dyDescent="0.25">
      <c r="B6" s="175">
        <f>COUNTA(B8:B991)</f>
        <v>19</v>
      </c>
      <c r="C6" s="176">
        <f>SUBTOTAL(3,B8:B991)</f>
        <v>19</v>
      </c>
      <c r="D6" s="177">
        <f>IF(C6=0,0,$C$6/$B$6)</f>
        <v>1</v>
      </c>
      <c r="E6" s="177"/>
      <c r="F6" s="177"/>
      <c r="G6" s="176"/>
      <c r="H6" s="176"/>
      <c r="I6" s="176"/>
      <c r="J6" s="178"/>
      <c r="K6" s="178"/>
      <c r="L6" s="178"/>
      <c r="M6" s="171"/>
      <c r="N6" s="171"/>
      <c r="O6" s="172"/>
      <c r="P6" s="179"/>
      <c r="Q6" s="180"/>
    </row>
    <row r="7" spans="1:20" ht="42.75" customHeight="1" thickBot="1" x14ac:dyDescent="0.25">
      <c r="B7" s="181" t="s">
        <v>14</v>
      </c>
      <c r="C7" s="182" t="s">
        <v>13</v>
      </c>
      <c r="D7" s="183" t="s">
        <v>126</v>
      </c>
      <c r="E7" s="183" t="s">
        <v>110</v>
      </c>
      <c r="F7" s="183" t="s">
        <v>101</v>
      </c>
      <c r="G7" s="183" t="s">
        <v>128</v>
      </c>
      <c r="H7" s="183" t="s">
        <v>127</v>
      </c>
      <c r="I7" s="183" t="s">
        <v>108</v>
      </c>
      <c r="J7" s="183" t="s">
        <v>15</v>
      </c>
      <c r="K7" s="183" t="s">
        <v>30</v>
      </c>
      <c r="L7" s="183" t="s">
        <v>120</v>
      </c>
      <c r="M7" s="183" t="s">
        <v>74</v>
      </c>
      <c r="N7" s="183" t="s">
        <v>75</v>
      </c>
      <c r="O7" s="183" t="s">
        <v>130</v>
      </c>
      <c r="P7" s="183" t="s">
        <v>66</v>
      </c>
      <c r="Q7" s="184" t="s">
        <v>129</v>
      </c>
    </row>
    <row r="8" spans="1:20" ht="89.25" x14ac:dyDescent="0.2">
      <c r="A8" s="211">
        <v>1</v>
      </c>
      <c r="B8" s="185" t="s">
        <v>169</v>
      </c>
      <c r="C8" s="186" t="s">
        <v>168</v>
      </c>
      <c r="D8" s="187"/>
      <c r="E8" s="187"/>
      <c r="F8" s="187" t="s">
        <v>151</v>
      </c>
      <c r="G8" s="187">
        <v>1</v>
      </c>
      <c r="H8" s="187"/>
      <c r="I8" s="188"/>
      <c r="J8" s="187"/>
      <c r="K8" s="187"/>
      <c r="L8" s="189"/>
      <c r="M8" s="190"/>
      <c r="N8" s="189"/>
      <c r="O8" s="191"/>
      <c r="P8" s="192"/>
      <c r="Q8" s="213"/>
    </row>
    <row r="9" spans="1:20" ht="51" x14ac:dyDescent="0.2">
      <c r="A9" s="211">
        <v>2</v>
      </c>
      <c r="B9" s="194" t="s">
        <v>170</v>
      </c>
      <c r="C9" s="186" t="s">
        <v>233</v>
      </c>
      <c r="D9" s="187"/>
      <c r="E9" s="187"/>
      <c r="F9" s="187" t="s">
        <v>151</v>
      </c>
      <c r="G9" s="187">
        <v>1</v>
      </c>
      <c r="H9" s="187"/>
      <c r="I9" s="188"/>
      <c r="J9" s="187"/>
      <c r="K9" s="187"/>
      <c r="L9" s="186"/>
      <c r="M9" s="188"/>
      <c r="N9" s="186"/>
      <c r="O9" s="195"/>
      <c r="P9" s="192"/>
      <c r="Q9" s="213"/>
    </row>
    <row r="10" spans="1:20" x14ac:dyDescent="0.2">
      <c r="B10" s="194" t="s">
        <v>177</v>
      </c>
      <c r="C10" s="186" t="s">
        <v>234</v>
      </c>
      <c r="D10" s="187"/>
      <c r="E10" s="187"/>
      <c r="F10" s="187" t="s">
        <v>151</v>
      </c>
      <c r="G10" s="187">
        <v>1</v>
      </c>
      <c r="H10" s="187"/>
      <c r="I10" s="188"/>
      <c r="J10" s="187"/>
      <c r="K10" s="187"/>
      <c r="L10" s="186"/>
      <c r="M10" s="188"/>
      <c r="N10" s="186"/>
      <c r="O10" s="195"/>
      <c r="P10" s="192"/>
      <c r="Q10" s="213"/>
    </row>
    <row r="11" spans="1:20" ht="25.5" x14ac:dyDescent="0.2">
      <c r="B11" s="185" t="s">
        <v>178</v>
      </c>
      <c r="C11" s="186" t="s">
        <v>235</v>
      </c>
      <c r="D11" s="187"/>
      <c r="E11" s="187"/>
      <c r="F11" s="187" t="s">
        <v>151</v>
      </c>
      <c r="G11" s="187">
        <v>2</v>
      </c>
      <c r="H11" s="187"/>
      <c r="I11" s="188"/>
      <c r="J11" s="187"/>
      <c r="K11" s="187"/>
      <c r="L11" s="186"/>
      <c r="M11" s="188"/>
      <c r="N11" s="186"/>
      <c r="O11" s="195"/>
      <c r="P11" s="192"/>
      <c r="Q11" s="213"/>
    </row>
    <row r="12" spans="1:20" x14ac:dyDescent="0.2">
      <c r="A12" s="211">
        <v>3</v>
      </c>
      <c r="B12" s="185" t="s">
        <v>179</v>
      </c>
      <c r="C12" s="213" t="s">
        <v>176</v>
      </c>
      <c r="D12" s="187"/>
      <c r="E12" s="187"/>
      <c r="F12" s="187" t="s">
        <v>151</v>
      </c>
      <c r="G12" s="187">
        <v>1</v>
      </c>
      <c r="H12" s="187"/>
      <c r="I12" s="188"/>
      <c r="J12" s="187"/>
      <c r="K12" s="187"/>
      <c r="L12" s="186"/>
      <c r="M12" s="188"/>
      <c r="N12" s="186"/>
      <c r="O12" s="195"/>
      <c r="P12" s="192"/>
      <c r="Q12" s="213"/>
    </row>
    <row r="13" spans="1:20" x14ac:dyDescent="0.2">
      <c r="B13" s="194" t="s">
        <v>180</v>
      </c>
      <c r="C13" s="163" t="s">
        <v>221</v>
      </c>
      <c r="D13" s="187"/>
      <c r="E13" s="187"/>
      <c r="F13" s="187" t="s">
        <v>151</v>
      </c>
      <c r="G13" s="187">
        <v>1</v>
      </c>
      <c r="H13" s="187"/>
      <c r="I13" s="188"/>
      <c r="J13" s="187"/>
      <c r="K13" s="187"/>
      <c r="L13" s="186"/>
      <c r="M13" s="188"/>
      <c r="N13" s="186"/>
      <c r="O13" s="195"/>
      <c r="P13" s="192"/>
      <c r="Q13" s="213"/>
    </row>
    <row r="14" spans="1:20" x14ac:dyDescent="0.2">
      <c r="A14" s="211">
        <v>4</v>
      </c>
      <c r="B14" s="185" t="s">
        <v>171</v>
      </c>
      <c r="C14" s="186" t="s">
        <v>172</v>
      </c>
      <c r="D14" s="187"/>
      <c r="E14" s="187"/>
      <c r="F14" s="187" t="s">
        <v>151</v>
      </c>
      <c r="G14" s="187">
        <v>1</v>
      </c>
      <c r="H14" s="187"/>
      <c r="I14" s="188"/>
      <c r="J14" s="187"/>
      <c r="K14" s="187"/>
      <c r="L14" s="186"/>
      <c r="M14" s="188"/>
      <c r="N14" s="186"/>
      <c r="O14" s="195"/>
      <c r="P14" s="192"/>
      <c r="Q14" s="213"/>
    </row>
    <row r="15" spans="1:20" x14ac:dyDescent="0.2">
      <c r="A15" s="211">
        <f t="shared" ref="A15:A66" si="0">A14+1</f>
        <v>5</v>
      </c>
      <c r="B15" s="185" t="s">
        <v>173</v>
      </c>
      <c r="C15" s="186" t="s">
        <v>174</v>
      </c>
      <c r="D15" s="187"/>
      <c r="E15" s="187"/>
      <c r="F15" s="187" t="s">
        <v>151</v>
      </c>
      <c r="G15" s="187">
        <v>1</v>
      </c>
      <c r="H15" s="187"/>
      <c r="I15" s="188"/>
      <c r="J15" s="187"/>
      <c r="K15" s="187"/>
      <c r="L15" s="186"/>
      <c r="M15" s="188"/>
      <c r="N15" s="186"/>
      <c r="O15" s="195"/>
      <c r="P15" s="192"/>
      <c r="Q15" s="186"/>
    </row>
    <row r="16" spans="1:20" ht="25.5" x14ac:dyDescent="0.2">
      <c r="A16" s="211">
        <f t="shared" si="0"/>
        <v>6</v>
      </c>
      <c r="B16" s="242" t="s">
        <v>236</v>
      </c>
      <c r="C16" s="186" t="s">
        <v>239</v>
      </c>
      <c r="D16" s="187"/>
      <c r="E16" s="187"/>
      <c r="F16" s="187" t="s">
        <v>151</v>
      </c>
      <c r="G16" s="187">
        <v>1</v>
      </c>
      <c r="H16" s="187"/>
      <c r="I16" s="188"/>
      <c r="J16" s="187"/>
      <c r="K16" s="187"/>
      <c r="L16" s="186"/>
      <c r="M16" s="188"/>
      <c r="N16" s="186"/>
      <c r="O16" s="195"/>
      <c r="P16" s="192"/>
      <c r="Q16" s="186"/>
    </row>
    <row r="17" spans="1:17" ht="25.5" x14ac:dyDescent="0.2">
      <c r="A17" s="211">
        <f t="shared" si="0"/>
        <v>7</v>
      </c>
      <c r="B17" s="243" t="s">
        <v>237</v>
      </c>
      <c r="C17" s="186" t="s">
        <v>240</v>
      </c>
      <c r="D17" s="187"/>
      <c r="E17" s="187"/>
      <c r="F17" s="187" t="s">
        <v>151</v>
      </c>
      <c r="G17" s="187">
        <v>2</v>
      </c>
      <c r="H17" s="187"/>
      <c r="I17" s="188"/>
      <c r="J17" s="187"/>
      <c r="K17" s="187"/>
      <c r="L17" s="196"/>
      <c r="M17" s="188"/>
      <c r="N17" s="186"/>
      <c r="O17" s="195"/>
      <c r="P17" s="192"/>
      <c r="Q17" s="213"/>
    </row>
    <row r="18" spans="1:17" ht="25.5" x14ac:dyDescent="0.2">
      <c r="A18" s="211">
        <f t="shared" si="0"/>
        <v>8</v>
      </c>
      <c r="B18" s="242" t="s">
        <v>238</v>
      </c>
      <c r="C18" s="186" t="s">
        <v>241</v>
      </c>
      <c r="D18" s="187"/>
      <c r="E18" s="187"/>
      <c r="F18" s="187" t="s">
        <v>151</v>
      </c>
      <c r="G18" s="187">
        <v>1</v>
      </c>
      <c r="H18" s="187"/>
      <c r="I18" s="188"/>
      <c r="J18" s="187"/>
      <c r="K18" s="187"/>
      <c r="L18" s="186"/>
      <c r="M18" s="188"/>
      <c r="N18" s="186"/>
      <c r="O18" s="195"/>
      <c r="P18" s="192"/>
      <c r="Q18" s="213"/>
    </row>
    <row r="19" spans="1:17" ht="25.5" x14ac:dyDescent="0.2">
      <c r="A19" s="211">
        <f t="shared" si="0"/>
        <v>9</v>
      </c>
      <c r="B19" s="194" t="s">
        <v>175</v>
      </c>
      <c r="C19" s="186" t="s">
        <v>245</v>
      </c>
      <c r="D19" s="187"/>
      <c r="E19" s="187"/>
      <c r="F19" s="187" t="s">
        <v>151</v>
      </c>
      <c r="G19" s="187">
        <v>1</v>
      </c>
      <c r="H19" s="187"/>
      <c r="I19" s="188"/>
      <c r="J19" s="187"/>
      <c r="K19" s="187"/>
      <c r="L19" s="186"/>
      <c r="M19" s="188"/>
      <c r="N19" s="186"/>
      <c r="O19" s="195"/>
      <c r="P19" s="192"/>
      <c r="Q19" s="213"/>
    </row>
    <row r="20" spans="1:17" ht="25.5" x14ac:dyDescent="0.2">
      <c r="A20" s="211">
        <f t="shared" si="0"/>
        <v>10</v>
      </c>
      <c r="B20" s="185" t="s">
        <v>188</v>
      </c>
      <c r="C20" s="186" t="s">
        <v>246</v>
      </c>
      <c r="D20" s="187"/>
      <c r="E20" s="187"/>
      <c r="F20" s="187" t="s">
        <v>151</v>
      </c>
      <c r="G20" s="187">
        <v>1</v>
      </c>
      <c r="H20" s="187"/>
      <c r="I20" s="188"/>
      <c r="J20" s="187"/>
      <c r="K20" s="187"/>
      <c r="L20" s="186"/>
      <c r="M20" s="188"/>
      <c r="N20" s="186"/>
      <c r="O20" s="195"/>
      <c r="P20" s="192"/>
      <c r="Q20" s="213"/>
    </row>
    <row r="21" spans="1:17" ht="25.5" x14ac:dyDescent="0.2">
      <c r="A21" s="211">
        <f t="shared" si="0"/>
        <v>11</v>
      </c>
      <c r="B21" s="194" t="s">
        <v>189</v>
      </c>
      <c r="C21" s="186" t="s">
        <v>247</v>
      </c>
      <c r="D21" s="187"/>
      <c r="E21" s="187"/>
      <c r="F21" s="187" t="s">
        <v>151</v>
      </c>
      <c r="G21" s="187">
        <v>1</v>
      </c>
      <c r="H21" s="187"/>
      <c r="I21" s="188"/>
      <c r="J21" s="187"/>
      <c r="K21" s="187"/>
      <c r="L21" s="186"/>
      <c r="M21" s="188"/>
      <c r="N21" s="186"/>
      <c r="O21" s="195"/>
      <c r="P21" s="192"/>
      <c r="Q21" s="213"/>
    </row>
    <row r="22" spans="1:17" x14ac:dyDescent="0.2">
      <c r="A22" s="211">
        <f t="shared" si="0"/>
        <v>12</v>
      </c>
      <c r="B22" s="185" t="s">
        <v>190</v>
      </c>
      <c r="C22" s="163" t="s">
        <v>248</v>
      </c>
      <c r="D22" s="187"/>
      <c r="E22" s="187"/>
      <c r="F22" s="187" t="s">
        <v>151</v>
      </c>
      <c r="G22" s="187">
        <v>1</v>
      </c>
      <c r="H22" s="187"/>
      <c r="I22" s="188"/>
      <c r="J22" s="187"/>
      <c r="K22" s="187"/>
      <c r="L22" s="186"/>
      <c r="M22" s="188"/>
      <c r="N22" s="186"/>
      <c r="O22" s="195"/>
      <c r="P22" s="192"/>
      <c r="Q22" s="213"/>
    </row>
    <row r="23" spans="1:17" ht="25.5" x14ac:dyDescent="0.2">
      <c r="A23" s="211">
        <f t="shared" si="0"/>
        <v>13</v>
      </c>
      <c r="B23" s="194" t="s">
        <v>191</v>
      </c>
      <c r="C23" s="186" t="s">
        <v>249</v>
      </c>
      <c r="D23" s="187"/>
      <c r="E23" s="187"/>
      <c r="F23" s="187" t="s">
        <v>151</v>
      </c>
      <c r="G23" s="187">
        <v>3</v>
      </c>
      <c r="H23" s="187"/>
      <c r="I23" s="188"/>
      <c r="J23" s="187"/>
      <c r="K23" s="187"/>
      <c r="L23" s="186"/>
      <c r="M23" s="188"/>
      <c r="N23" s="186"/>
      <c r="O23" s="195"/>
      <c r="P23" s="192"/>
      <c r="Q23" s="163"/>
    </row>
    <row r="24" spans="1:17" x14ac:dyDescent="0.2">
      <c r="A24" s="211">
        <f>A23+1</f>
        <v>14</v>
      </c>
      <c r="B24" s="185" t="s">
        <v>242</v>
      </c>
      <c r="C24" s="213" t="s">
        <v>223</v>
      </c>
      <c r="D24" s="187"/>
      <c r="E24" s="187"/>
      <c r="F24" s="187" t="s">
        <v>151</v>
      </c>
      <c r="G24" s="187">
        <v>2</v>
      </c>
      <c r="H24" s="187"/>
      <c r="I24" s="188"/>
      <c r="J24" s="187"/>
      <c r="K24" s="187"/>
      <c r="L24" s="186"/>
      <c r="M24" s="188"/>
      <c r="N24" s="186"/>
      <c r="O24" s="195"/>
      <c r="P24" s="192"/>
      <c r="Q24" s="213"/>
    </row>
    <row r="25" spans="1:17" x14ac:dyDescent="0.2">
      <c r="A25" s="211">
        <f t="shared" si="0"/>
        <v>15</v>
      </c>
      <c r="B25" s="194" t="s">
        <v>243</v>
      </c>
      <c r="C25" s="213" t="s">
        <v>222</v>
      </c>
      <c r="D25" s="187"/>
      <c r="E25" s="187"/>
      <c r="F25" s="187" t="s">
        <v>151</v>
      </c>
      <c r="G25" s="187">
        <v>1</v>
      </c>
      <c r="H25" s="187"/>
      <c r="I25" s="188"/>
      <c r="J25" s="187"/>
      <c r="K25" s="187"/>
      <c r="L25" s="186"/>
      <c r="M25" s="188"/>
      <c r="N25" s="186"/>
      <c r="O25" s="195"/>
      <c r="P25" s="192"/>
      <c r="Q25" s="163"/>
    </row>
    <row r="26" spans="1:17" x14ac:dyDescent="0.2">
      <c r="A26" s="211">
        <f t="shared" si="0"/>
        <v>16</v>
      </c>
      <c r="B26" s="185" t="s">
        <v>244</v>
      </c>
      <c r="C26" s="193" t="s">
        <v>157</v>
      </c>
      <c r="D26" s="187"/>
      <c r="E26" s="187"/>
      <c r="F26" s="187" t="s">
        <v>151</v>
      </c>
      <c r="G26" s="187">
        <v>1</v>
      </c>
      <c r="H26" s="187"/>
      <c r="I26" s="188"/>
      <c r="J26" s="187"/>
      <c r="K26" s="187"/>
      <c r="L26" s="186"/>
      <c r="M26" s="188"/>
      <c r="N26" s="186"/>
      <c r="O26" s="195"/>
      <c r="P26" s="192"/>
      <c r="Q26" s="198"/>
    </row>
    <row r="27" spans="1:17" x14ac:dyDescent="0.2">
      <c r="A27" s="211">
        <f t="shared" si="0"/>
        <v>17</v>
      </c>
      <c r="B27" s="194"/>
      <c r="C27" s="207"/>
      <c r="D27" s="187"/>
      <c r="E27" s="187"/>
      <c r="F27" s="187"/>
      <c r="G27" s="187"/>
      <c r="H27" s="187"/>
      <c r="I27" s="188"/>
      <c r="J27" s="187"/>
      <c r="K27" s="187"/>
      <c r="L27" s="186"/>
      <c r="M27" s="188"/>
      <c r="N27" s="186"/>
      <c r="O27" s="195"/>
      <c r="P27" s="192"/>
      <c r="Q27" s="198"/>
    </row>
    <row r="28" spans="1:17" x14ac:dyDescent="0.2">
      <c r="A28" s="211">
        <f t="shared" si="0"/>
        <v>18</v>
      </c>
      <c r="B28" s="185"/>
      <c r="C28" s="186"/>
      <c r="D28" s="187"/>
      <c r="E28" s="187"/>
      <c r="F28" s="187"/>
      <c r="G28" s="187"/>
      <c r="H28" s="187"/>
      <c r="I28" s="188"/>
      <c r="J28" s="187"/>
      <c r="K28" s="187"/>
      <c r="L28" s="186"/>
      <c r="M28" s="188"/>
      <c r="N28" s="186"/>
      <c r="O28" s="195"/>
      <c r="P28" s="192"/>
      <c r="Q28" s="197"/>
    </row>
    <row r="29" spans="1:17" x14ac:dyDescent="0.2">
      <c r="A29" s="211">
        <f t="shared" si="0"/>
        <v>19</v>
      </c>
      <c r="B29" s="194"/>
      <c r="C29" s="186"/>
      <c r="D29" s="187"/>
      <c r="E29" s="187"/>
      <c r="F29" s="187"/>
      <c r="G29" s="187"/>
      <c r="H29" s="187"/>
      <c r="I29" s="188"/>
      <c r="J29" s="187"/>
      <c r="K29" s="187"/>
      <c r="L29" s="186"/>
      <c r="M29" s="188"/>
      <c r="N29" s="186"/>
      <c r="O29" s="195"/>
      <c r="P29" s="192"/>
      <c r="Q29" s="197"/>
    </row>
    <row r="30" spans="1:17" x14ac:dyDescent="0.2">
      <c r="A30" s="211">
        <f t="shared" si="0"/>
        <v>20</v>
      </c>
      <c r="B30" s="185"/>
      <c r="C30" s="186"/>
      <c r="D30" s="187"/>
      <c r="E30" s="187"/>
      <c r="F30" s="187"/>
      <c r="G30" s="187"/>
      <c r="H30" s="187"/>
      <c r="I30" s="188"/>
      <c r="J30" s="199"/>
      <c r="K30" s="199"/>
      <c r="L30" s="200"/>
      <c r="M30" s="201"/>
      <c r="N30" s="200"/>
      <c r="O30" s="202"/>
      <c r="P30" s="203"/>
      <c r="Q30" s="204"/>
    </row>
    <row r="31" spans="1:17" x14ac:dyDescent="0.2">
      <c r="A31" s="211">
        <f t="shared" si="0"/>
        <v>21</v>
      </c>
      <c r="B31" s="194"/>
      <c r="C31" s="186"/>
      <c r="D31" s="187"/>
      <c r="E31" s="187"/>
      <c r="F31" s="187"/>
      <c r="G31" s="187"/>
      <c r="H31" s="187"/>
      <c r="I31" s="188"/>
      <c r="J31" s="199"/>
      <c r="K31" s="199"/>
      <c r="L31" s="200"/>
      <c r="M31" s="201"/>
      <c r="N31" s="200"/>
      <c r="O31" s="202"/>
      <c r="P31" s="203"/>
      <c r="Q31" s="204"/>
    </row>
    <row r="32" spans="1:17" x14ac:dyDescent="0.2">
      <c r="A32" s="211">
        <f t="shared" si="0"/>
        <v>22</v>
      </c>
      <c r="B32" s="185"/>
      <c r="C32" s="186"/>
      <c r="D32" s="187"/>
      <c r="E32" s="187"/>
      <c r="F32" s="187"/>
      <c r="G32" s="187"/>
      <c r="H32" s="187"/>
      <c r="I32" s="188"/>
      <c r="J32" s="199"/>
      <c r="K32" s="199"/>
      <c r="L32" s="200"/>
      <c r="M32" s="201"/>
      <c r="N32" s="200"/>
      <c r="O32" s="202"/>
      <c r="P32" s="203"/>
      <c r="Q32" s="204"/>
    </row>
    <row r="33" spans="1:17" x14ac:dyDescent="0.2">
      <c r="A33" s="211">
        <f t="shared" si="0"/>
        <v>23</v>
      </c>
      <c r="B33" s="194"/>
      <c r="C33" s="186"/>
      <c r="D33" s="187"/>
      <c r="E33" s="187"/>
      <c r="F33" s="187"/>
      <c r="G33" s="187"/>
      <c r="H33" s="187"/>
      <c r="I33" s="188"/>
      <c r="J33" s="199"/>
      <c r="K33" s="199"/>
      <c r="L33" s="200"/>
      <c r="M33" s="201"/>
      <c r="N33" s="200"/>
      <c r="O33" s="202"/>
      <c r="P33" s="203"/>
      <c r="Q33" s="204"/>
    </row>
    <row r="34" spans="1:17" x14ac:dyDescent="0.2">
      <c r="A34" s="211">
        <f t="shared" si="0"/>
        <v>24</v>
      </c>
      <c r="B34" s="185"/>
      <c r="C34" s="186"/>
      <c r="D34" s="187"/>
      <c r="E34" s="187"/>
      <c r="F34" s="187"/>
      <c r="G34" s="187"/>
      <c r="H34" s="187"/>
      <c r="I34" s="188"/>
      <c r="J34" s="199"/>
      <c r="K34" s="199"/>
      <c r="L34" s="200"/>
      <c r="M34" s="201"/>
      <c r="N34" s="200"/>
      <c r="O34" s="202"/>
      <c r="P34" s="203"/>
      <c r="Q34" s="204"/>
    </row>
    <row r="35" spans="1:17" x14ac:dyDescent="0.2">
      <c r="A35" s="211">
        <f>A32+1</f>
        <v>23</v>
      </c>
      <c r="B35" s="194"/>
      <c r="C35" s="186"/>
      <c r="D35" s="187"/>
      <c r="E35" s="187"/>
      <c r="F35" s="187"/>
      <c r="G35" s="187"/>
      <c r="H35" s="187"/>
      <c r="I35" s="188"/>
      <c r="J35" s="187"/>
      <c r="K35" s="187"/>
      <c r="L35" s="186"/>
      <c r="M35" s="188"/>
      <c r="N35" s="186"/>
      <c r="O35" s="195"/>
      <c r="P35" s="192"/>
      <c r="Q35" s="197"/>
    </row>
    <row r="36" spans="1:17" x14ac:dyDescent="0.2">
      <c r="A36" s="211">
        <f t="shared" si="0"/>
        <v>24</v>
      </c>
      <c r="B36" s="185"/>
      <c r="C36" s="186"/>
      <c r="D36" s="187"/>
      <c r="E36" s="187"/>
      <c r="F36" s="187"/>
      <c r="G36" s="187"/>
      <c r="H36" s="187"/>
      <c r="I36" s="188"/>
      <c r="J36" s="187"/>
      <c r="K36" s="187"/>
      <c r="L36" s="205"/>
      <c r="M36" s="188"/>
      <c r="N36" s="205"/>
      <c r="O36" s="206"/>
      <c r="P36" s="192"/>
      <c r="Q36" s="197"/>
    </row>
    <row r="37" spans="1:17" x14ac:dyDescent="0.2">
      <c r="A37" s="211">
        <f t="shared" si="0"/>
        <v>25</v>
      </c>
      <c r="B37" s="194"/>
      <c r="C37" s="186"/>
      <c r="D37" s="187"/>
      <c r="E37" s="187"/>
      <c r="F37" s="187"/>
      <c r="G37" s="187"/>
      <c r="H37" s="187"/>
      <c r="I37" s="188"/>
      <c r="J37" s="187"/>
      <c r="K37" s="187"/>
      <c r="L37" s="205"/>
      <c r="M37" s="188"/>
      <c r="N37" s="205"/>
      <c r="O37" s="206"/>
      <c r="P37" s="192"/>
      <c r="Q37" s="197"/>
    </row>
    <row r="38" spans="1:17" x14ac:dyDescent="0.2">
      <c r="A38" s="211">
        <f t="shared" si="0"/>
        <v>26</v>
      </c>
      <c r="B38" s="185"/>
      <c r="C38" s="186"/>
      <c r="D38" s="195"/>
      <c r="E38" s="195"/>
      <c r="F38" s="195"/>
      <c r="G38" s="195"/>
      <c r="H38" s="195"/>
      <c r="I38" s="192"/>
      <c r="J38" s="195"/>
      <c r="K38" s="195"/>
      <c r="L38" s="207"/>
      <c r="M38" s="192"/>
      <c r="N38" s="207"/>
      <c r="O38" s="195"/>
      <c r="P38" s="192"/>
      <c r="Q38" s="208"/>
    </row>
    <row r="39" spans="1:17" x14ac:dyDescent="0.2">
      <c r="A39" s="211">
        <f t="shared" si="0"/>
        <v>27</v>
      </c>
      <c r="B39" s="194"/>
      <c r="C39" s="186"/>
      <c r="D39" s="195"/>
      <c r="E39" s="195"/>
      <c r="F39" s="195"/>
      <c r="G39" s="195"/>
      <c r="H39" s="195"/>
      <c r="I39" s="192"/>
      <c r="J39" s="195"/>
      <c r="K39" s="195"/>
      <c r="L39" s="207"/>
      <c r="M39" s="192"/>
      <c r="N39" s="207"/>
      <c r="O39" s="195"/>
      <c r="P39" s="192"/>
      <c r="Q39" s="208"/>
    </row>
    <row r="40" spans="1:17" x14ac:dyDescent="0.2">
      <c r="A40" s="211">
        <f t="shared" si="0"/>
        <v>28</v>
      </c>
      <c r="B40" s="185"/>
      <c r="C40" s="186"/>
      <c r="D40" s="195"/>
      <c r="E40" s="195"/>
      <c r="F40" s="195"/>
      <c r="G40" s="195"/>
      <c r="H40" s="195"/>
      <c r="I40" s="192"/>
      <c r="J40" s="195"/>
      <c r="K40" s="195"/>
      <c r="L40" s="207"/>
      <c r="M40" s="192"/>
      <c r="N40" s="207"/>
      <c r="O40" s="195"/>
      <c r="P40" s="195"/>
      <c r="Q40" s="208"/>
    </row>
    <row r="41" spans="1:17" x14ac:dyDescent="0.2">
      <c r="A41" s="211">
        <f t="shared" si="0"/>
        <v>29</v>
      </c>
      <c r="B41" s="194"/>
      <c r="C41" s="186"/>
      <c r="D41" s="195"/>
      <c r="E41" s="195"/>
      <c r="F41" s="195"/>
      <c r="G41" s="195"/>
      <c r="H41" s="195"/>
      <c r="I41" s="192"/>
      <c r="J41" s="195"/>
      <c r="K41" s="195"/>
      <c r="L41" s="207"/>
      <c r="M41" s="192"/>
      <c r="N41" s="207"/>
      <c r="O41" s="195"/>
      <c r="P41" s="195"/>
      <c r="Q41" s="208"/>
    </row>
    <row r="42" spans="1:17" x14ac:dyDescent="0.2">
      <c r="A42" s="211">
        <f t="shared" si="0"/>
        <v>30</v>
      </c>
      <c r="B42" s="185"/>
      <c r="C42" s="186"/>
      <c r="D42" s="195"/>
      <c r="E42" s="195"/>
      <c r="F42" s="195"/>
      <c r="G42" s="195"/>
      <c r="H42" s="195"/>
      <c r="I42" s="192"/>
      <c r="J42" s="195"/>
      <c r="K42" s="195"/>
      <c r="L42" s="207"/>
      <c r="M42" s="192"/>
      <c r="N42" s="207"/>
      <c r="O42" s="195"/>
      <c r="P42" s="192"/>
      <c r="Q42" s="208"/>
    </row>
    <row r="43" spans="1:17" x14ac:dyDescent="0.2">
      <c r="A43" s="211">
        <f t="shared" si="0"/>
        <v>31</v>
      </c>
      <c r="B43" s="194"/>
      <c r="C43" s="186"/>
      <c r="D43" s="195"/>
      <c r="E43" s="195"/>
      <c r="F43" s="195"/>
      <c r="G43" s="195"/>
      <c r="H43" s="195"/>
      <c r="I43" s="192"/>
      <c r="J43" s="195"/>
      <c r="K43" s="195"/>
      <c r="L43" s="207"/>
      <c r="M43" s="192"/>
      <c r="N43" s="207"/>
      <c r="O43" s="195"/>
      <c r="P43" s="195"/>
      <c r="Q43" s="208"/>
    </row>
    <row r="44" spans="1:17" x14ac:dyDescent="0.2">
      <c r="A44" s="211">
        <f t="shared" si="0"/>
        <v>32</v>
      </c>
      <c r="B44" s="185"/>
      <c r="C44" s="186"/>
      <c r="D44" s="195"/>
      <c r="E44" s="195"/>
      <c r="F44" s="195"/>
      <c r="G44" s="195"/>
      <c r="H44" s="195"/>
      <c r="I44" s="192"/>
      <c r="J44" s="195"/>
      <c r="K44" s="195"/>
      <c r="L44" s="207"/>
      <c r="M44" s="192"/>
      <c r="N44" s="207"/>
      <c r="O44" s="195"/>
      <c r="P44" s="195"/>
      <c r="Q44" s="209"/>
    </row>
    <row r="45" spans="1:17" x14ac:dyDescent="0.2">
      <c r="A45" s="211">
        <f t="shared" si="0"/>
        <v>33</v>
      </c>
      <c r="B45" s="194"/>
      <c r="C45" s="186"/>
      <c r="D45" s="195"/>
      <c r="E45" s="195"/>
      <c r="F45" s="195"/>
      <c r="G45" s="195"/>
      <c r="H45" s="195"/>
      <c r="I45" s="192"/>
      <c r="J45" s="195"/>
      <c r="K45" s="195"/>
      <c r="L45" s="207"/>
      <c r="M45" s="192"/>
      <c r="N45" s="207"/>
      <c r="O45" s="195"/>
      <c r="P45" s="192"/>
      <c r="Q45" s="208"/>
    </row>
    <row r="46" spans="1:17" x14ac:dyDescent="0.2">
      <c r="A46" s="211">
        <f t="shared" si="0"/>
        <v>34</v>
      </c>
      <c r="B46" s="185"/>
      <c r="C46" s="186"/>
      <c r="D46" s="187"/>
      <c r="E46" s="187"/>
      <c r="F46" s="187"/>
      <c r="G46" s="187"/>
      <c r="H46" s="187"/>
      <c r="I46" s="188"/>
      <c r="J46" s="187"/>
      <c r="K46" s="187"/>
      <c r="L46" s="186"/>
      <c r="M46" s="188"/>
      <c r="N46" s="186"/>
      <c r="O46" s="195"/>
      <c r="P46" s="192"/>
      <c r="Q46" s="197"/>
    </row>
    <row r="47" spans="1:17" x14ac:dyDescent="0.2">
      <c r="A47" s="211">
        <f t="shared" si="0"/>
        <v>35</v>
      </c>
      <c r="B47" s="194"/>
      <c r="C47" s="186"/>
      <c r="D47" s="187"/>
      <c r="E47" s="187"/>
      <c r="F47" s="187"/>
      <c r="G47" s="187"/>
      <c r="H47" s="187"/>
      <c r="I47" s="188"/>
      <c r="J47" s="187"/>
      <c r="K47" s="187"/>
      <c r="L47" s="186"/>
      <c r="M47" s="188"/>
      <c r="N47" s="186"/>
      <c r="O47" s="195"/>
      <c r="P47" s="192"/>
      <c r="Q47" s="197"/>
    </row>
    <row r="48" spans="1:17" x14ac:dyDescent="0.2">
      <c r="A48" s="211">
        <f t="shared" si="0"/>
        <v>36</v>
      </c>
      <c r="B48" s="185"/>
      <c r="C48" s="186"/>
      <c r="D48" s="187"/>
      <c r="E48" s="187"/>
      <c r="F48" s="187"/>
      <c r="G48" s="187"/>
      <c r="H48" s="187"/>
      <c r="I48" s="188"/>
      <c r="J48" s="187"/>
      <c r="K48" s="187"/>
      <c r="L48" s="186"/>
      <c r="M48" s="188"/>
      <c r="N48" s="186"/>
      <c r="O48" s="195"/>
      <c r="P48" s="192"/>
      <c r="Q48" s="197"/>
    </row>
    <row r="49" spans="1:17" s="210" customFormat="1" x14ac:dyDescent="0.2">
      <c r="A49" s="211">
        <f t="shared" si="0"/>
        <v>37</v>
      </c>
      <c r="B49" s="194"/>
      <c r="C49" s="186"/>
      <c r="D49" s="187"/>
      <c r="E49" s="187"/>
      <c r="F49" s="187"/>
      <c r="G49" s="187"/>
      <c r="H49" s="187"/>
      <c r="I49" s="188"/>
      <c r="J49" s="187"/>
      <c r="K49" s="187"/>
      <c r="L49" s="186"/>
      <c r="M49" s="188"/>
      <c r="N49" s="186"/>
      <c r="O49" s="195"/>
      <c r="P49" s="192"/>
      <c r="Q49" s="197"/>
    </row>
    <row r="50" spans="1:17" x14ac:dyDescent="0.2">
      <c r="A50" s="211">
        <f t="shared" si="0"/>
        <v>38</v>
      </c>
      <c r="B50" s="185"/>
      <c r="C50" s="186"/>
      <c r="D50" s="187"/>
      <c r="E50" s="187"/>
      <c r="F50" s="187"/>
      <c r="G50" s="187"/>
      <c r="H50" s="187"/>
      <c r="I50" s="188"/>
      <c r="J50" s="187"/>
      <c r="K50" s="187"/>
      <c r="L50" s="186"/>
      <c r="M50" s="188"/>
      <c r="N50" s="186"/>
      <c r="O50" s="195"/>
      <c r="P50" s="192"/>
      <c r="Q50" s="197"/>
    </row>
    <row r="51" spans="1:17" x14ac:dyDescent="0.2">
      <c r="A51" s="211">
        <f t="shared" si="0"/>
        <v>39</v>
      </c>
      <c r="B51" s="194"/>
      <c r="C51" s="186"/>
      <c r="D51" s="187"/>
      <c r="E51" s="187"/>
      <c r="F51" s="187"/>
      <c r="G51" s="187"/>
      <c r="H51" s="187"/>
      <c r="I51" s="188"/>
      <c r="J51" s="187"/>
      <c r="K51" s="187"/>
      <c r="L51" s="186"/>
      <c r="M51" s="188"/>
      <c r="N51" s="186"/>
      <c r="O51" s="195"/>
      <c r="P51" s="192"/>
      <c r="Q51" s="197"/>
    </row>
    <row r="52" spans="1:17" x14ac:dyDescent="0.2">
      <c r="A52" s="211">
        <f t="shared" si="0"/>
        <v>40</v>
      </c>
      <c r="B52" s="185"/>
      <c r="C52" s="186"/>
      <c r="D52" s="187"/>
      <c r="E52" s="187"/>
      <c r="F52" s="187"/>
      <c r="G52" s="187"/>
      <c r="H52" s="187"/>
      <c r="I52" s="188"/>
      <c r="J52" s="187"/>
      <c r="K52" s="187"/>
      <c r="L52" s="186"/>
      <c r="M52" s="188"/>
      <c r="N52" s="186"/>
      <c r="O52" s="195"/>
      <c r="P52" s="192"/>
      <c r="Q52" s="197"/>
    </row>
    <row r="53" spans="1:17" x14ac:dyDescent="0.2">
      <c r="A53" s="211">
        <f t="shared" si="0"/>
        <v>41</v>
      </c>
      <c r="B53" s="194"/>
      <c r="C53" s="186"/>
      <c r="D53" s="187"/>
      <c r="E53" s="187"/>
      <c r="F53" s="187"/>
      <c r="G53" s="187"/>
      <c r="H53" s="187"/>
      <c r="I53" s="188"/>
      <c r="J53" s="187"/>
      <c r="K53" s="187"/>
      <c r="L53" s="186"/>
      <c r="M53" s="188"/>
      <c r="N53" s="186"/>
      <c r="O53" s="195"/>
      <c r="P53" s="192"/>
      <c r="Q53" s="197"/>
    </row>
    <row r="54" spans="1:17" x14ac:dyDescent="0.2">
      <c r="A54" s="211">
        <f t="shared" si="0"/>
        <v>42</v>
      </c>
      <c r="B54" s="185"/>
      <c r="C54" s="186"/>
      <c r="D54" s="187"/>
      <c r="E54" s="187"/>
      <c r="F54" s="187"/>
      <c r="G54" s="187"/>
      <c r="H54" s="187"/>
      <c r="I54" s="188"/>
      <c r="J54" s="187"/>
      <c r="K54" s="187"/>
      <c r="L54" s="186"/>
      <c r="M54" s="188"/>
      <c r="N54" s="186"/>
      <c r="O54" s="195"/>
      <c r="P54" s="192"/>
      <c r="Q54" s="197"/>
    </row>
    <row r="55" spans="1:17" x14ac:dyDescent="0.2">
      <c r="A55" s="211">
        <f t="shared" si="0"/>
        <v>43</v>
      </c>
      <c r="B55" s="194"/>
      <c r="C55" s="186"/>
      <c r="D55" s="187"/>
      <c r="E55" s="187"/>
      <c r="F55" s="187"/>
      <c r="G55" s="187"/>
      <c r="H55" s="187"/>
      <c r="I55" s="188"/>
      <c r="J55" s="187"/>
      <c r="K55" s="187"/>
      <c r="L55" s="186"/>
      <c r="M55" s="188"/>
      <c r="N55" s="186"/>
      <c r="O55" s="195"/>
      <c r="P55" s="192"/>
      <c r="Q55" s="197"/>
    </row>
    <row r="56" spans="1:17" x14ac:dyDescent="0.2">
      <c r="A56" s="211">
        <f t="shared" si="0"/>
        <v>44</v>
      </c>
      <c r="B56" s="185"/>
      <c r="C56" s="186"/>
      <c r="D56" s="187"/>
      <c r="E56" s="187"/>
      <c r="F56" s="187"/>
      <c r="G56" s="187"/>
      <c r="H56" s="187"/>
      <c r="I56" s="188"/>
      <c r="J56" s="187"/>
      <c r="K56" s="187"/>
      <c r="L56" s="186"/>
      <c r="M56" s="188"/>
      <c r="N56" s="186"/>
      <c r="O56" s="195"/>
      <c r="P56" s="192"/>
      <c r="Q56" s="197"/>
    </row>
    <row r="57" spans="1:17" x14ac:dyDescent="0.2">
      <c r="A57" s="211">
        <f t="shared" si="0"/>
        <v>45</v>
      </c>
      <c r="B57" s="194"/>
      <c r="C57" s="186"/>
      <c r="D57" s="187"/>
      <c r="E57" s="187"/>
      <c r="F57" s="187"/>
      <c r="G57" s="187"/>
      <c r="H57" s="187"/>
      <c r="I57" s="188"/>
      <c r="J57" s="187"/>
      <c r="K57" s="187"/>
      <c r="L57" s="186"/>
      <c r="M57" s="188"/>
      <c r="N57" s="186"/>
      <c r="O57" s="195"/>
      <c r="P57" s="192"/>
      <c r="Q57" s="197"/>
    </row>
    <row r="58" spans="1:17" x14ac:dyDescent="0.2">
      <c r="A58" s="211">
        <f t="shared" si="0"/>
        <v>46</v>
      </c>
      <c r="B58" s="185"/>
      <c r="C58" s="186"/>
      <c r="D58" s="187"/>
      <c r="E58" s="187"/>
      <c r="F58" s="187"/>
      <c r="G58" s="187"/>
      <c r="H58" s="187"/>
      <c r="I58" s="188"/>
      <c r="J58" s="187"/>
      <c r="K58" s="187"/>
      <c r="L58" s="186"/>
      <c r="M58" s="188"/>
      <c r="N58" s="186"/>
      <c r="O58" s="195"/>
      <c r="P58" s="192"/>
      <c r="Q58" s="197"/>
    </row>
    <row r="59" spans="1:17" x14ac:dyDescent="0.2">
      <c r="A59" s="211">
        <f t="shared" si="0"/>
        <v>47</v>
      </c>
      <c r="B59" s="194"/>
      <c r="C59" s="186"/>
      <c r="D59" s="187"/>
      <c r="E59" s="187"/>
      <c r="F59" s="187"/>
      <c r="G59" s="187"/>
      <c r="H59" s="187"/>
      <c r="I59" s="188"/>
      <c r="J59" s="187"/>
      <c r="K59" s="187"/>
      <c r="L59" s="186"/>
      <c r="M59" s="188"/>
      <c r="N59" s="186"/>
      <c r="O59" s="195"/>
      <c r="P59" s="195"/>
      <c r="Q59" s="197"/>
    </row>
    <row r="60" spans="1:17" x14ac:dyDescent="0.2">
      <c r="A60" s="211">
        <f t="shared" si="0"/>
        <v>48</v>
      </c>
      <c r="B60" s="185"/>
      <c r="C60" s="186"/>
      <c r="D60" s="187"/>
      <c r="E60" s="187"/>
      <c r="F60" s="187"/>
      <c r="G60" s="187"/>
      <c r="H60" s="187"/>
      <c r="I60" s="188"/>
      <c r="J60" s="187"/>
      <c r="K60" s="187"/>
      <c r="L60" s="186"/>
      <c r="M60" s="188"/>
      <c r="N60" s="186"/>
      <c r="O60" s="195"/>
      <c r="P60" s="192"/>
      <c r="Q60" s="198"/>
    </row>
    <row r="61" spans="1:17" x14ac:dyDescent="0.2">
      <c r="A61" s="211">
        <f t="shared" si="0"/>
        <v>49</v>
      </c>
      <c r="B61" s="194"/>
      <c r="C61" s="186"/>
      <c r="D61" s="187"/>
      <c r="E61" s="187"/>
      <c r="F61" s="187"/>
      <c r="G61" s="187"/>
      <c r="H61" s="187"/>
      <c r="I61" s="188"/>
      <c r="J61" s="187"/>
      <c r="K61" s="187"/>
      <c r="L61" s="186"/>
      <c r="M61" s="188"/>
      <c r="N61" s="186"/>
      <c r="O61" s="195"/>
      <c r="P61" s="195"/>
      <c r="Q61" s="198"/>
    </row>
    <row r="62" spans="1:17" x14ac:dyDescent="0.2">
      <c r="A62" s="211">
        <f t="shared" si="0"/>
        <v>50</v>
      </c>
      <c r="B62" s="185"/>
      <c r="C62" s="186"/>
      <c r="D62" s="187"/>
      <c r="E62" s="187"/>
      <c r="F62" s="187"/>
      <c r="G62" s="187"/>
      <c r="H62" s="187"/>
      <c r="I62" s="188"/>
      <c r="J62" s="187"/>
      <c r="K62" s="187"/>
      <c r="L62" s="186"/>
      <c r="M62" s="188"/>
      <c r="N62" s="186"/>
      <c r="O62" s="195"/>
      <c r="P62" s="195"/>
      <c r="Q62" s="198"/>
    </row>
    <row r="63" spans="1:17" x14ac:dyDescent="0.2">
      <c r="A63" s="211">
        <f>A61+1</f>
        <v>50</v>
      </c>
      <c r="B63" s="194"/>
      <c r="C63" s="186"/>
      <c r="D63" s="187"/>
      <c r="E63" s="187"/>
      <c r="F63" s="187"/>
      <c r="G63" s="187"/>
      <c r="H63" s="187"/>
      <c r="I63" s="188"/>
      <c r="J63" s="187"/>
      <c r="K63" s="187"/>
      <c r="L63" s="186"/>
      <c r="M63" s="188"/>
      <c r="N63" s="186"/>
      <c r="O63" s="195"/>
      <c r="P63" s="195"/>
      <c r="Q63" s="198"/>
    </row>
    <row r="64" spans="1:17" x14ac:dyDescent="0.2">
      <c r="A64" s="211">
        <f t="shared" si="0"/>
        <v>51</v>
      </c>
      <c r="B64" s="185"/>
      <c r="C64" s="186"/>
      <c r="D64" s="187"/>
      <c r="E64" s="187"/>
      <c r="F64" s="187"/>
      <c r="G64" s="187"/>
      <c r="H64" s="187"/>
      <c r="I64" s="188"/>
      <c r="J64" s="187"/>
      <c r="K64" s="187"/>
      <c r="L64" s="186"/>
      <c r="M64" s="188"/>
      <c r="N64" s="186"/>
      <c r="O64" s="195"/>
      <c r="P64" s="195"/>
      <c r="Q64" s="198"/>
    </row>
    <row r="65" spans="1:17" x14ac:dyDescent="0.2">
      <c r="A65" s="211">
        <f t="shared" si="0"/>
        <v>52</v>
      </c>
      <c r="B65" s="194"/>
      <c r="C65" s="186"/>
      <c r="D65" s="187"/>
      <c r="E65" s="187"/>
      <c r="F65" s="187"/>
      <c r="G65" s="187"/>
      <c r="H65" s="187"/>
      <c r="I65" s="188"/>
      <c r="J65" s="187"/>
      <c r="K65" s="187"/>
      <c r="L65" s="186"/>
      <c r="M65" s="188"/>
      <c r="N65" s="186"/>
      <c r="O65" s="195"/>
      <c r="P65" s="195"/>
      <c r="Q65" s="198"/>
    </row>
    <row r="66" spans="1:17" x14ac:dyDescent="0.2">
      <c r="A66" s="211">
        <f t="shared" si="0"/>
        <v>53</v>
      </c>
      <c r="B66" s="185"/>
      <c r="C66" s="186"/>
      <c r="D66" s="187"/>
      <c r="E66" s="187"/>
      <c r="F66" s="187"/>
      <c r="G66" s="187"/>
      <c r="H66" s="187"/>
      <c r="I66" s="188"/>
      <c r="J66" s="187"/>
      <c r="K66" s="187"/>
      <c r="L66" s="186"/>
      <c r="M66" s="188"/>
      <c r="N66" s="186"/>
      <c r="O66" s="195"/>
      <c r="P66" s="195"/>
      <c r="Q66" s="198"/>
    </row>
  </sheetData>
  <autoFilter ref="A5:Q66"/>
  <mergeCells count="2">
    <mergeCell ref="B3:L3"/>
    <mergeCell ref="B2:R2"/>
  </mergeCells>
  <phoneticPr fontId="5" type="noConversion"/>
  <conditionalFormatting sqref="O43 O35:P35 O8:P29">
    <cfRule type="cellIs" dxfId="1444" priority="200" stopIfTrue="1" operator="equal">
      <formula>#REF!</formula>
    </cfRule>
  </conditionalFormatting>
  <conditionalFormatting sqref="O25">
    <cfRule type="cellIs" dxfId="1443" priority="199" stopIfTrue="1" operator="equal">
      <formula>#REF!</formula>
    </cfRule>
  </conditionalFormatting>
  <conditionalFormatting sqref="O14:P14">
    <cfRule type="cellIs" dxfId="1442" priority="198" stopIfTrue="1" operator="equal">
      <formula>#REF!</formula>
    </cfRule>
  </conditionalFormatting>
  <conditionalFormatting sqref="O43:O44">
    <cfRule type="cellIs" dxfId="1441" priority="192" stopIfTrue="1" operator="equal">
      <formula>#REF!</formula>
    </cfRule>
  </conditionalFormatting>
  <conditionalFormatting sqref="O45:P58">
    <cfRule type="cellIs" dxfId="1440" priority="184" stopIfTrue="1" operator="equal">
      <formula>#REF!</formula>
    </cfRule>
  </conditionalFormatting>
  <conditionalFormatting sqref="O46:P46">
    <cfRule type="cellIs" dxfId="1439" priority="183" stopIfTrue="1" operator="equal">
      <formula>#REF!</formula>
    </cfRule>
  </conditionalFormatting>
  <conditionalFormatting sqref="O55:P55">
    <cfRule type="cellIs" dxfId="1438" priority="182" stopIfTrue="1" operator="equal">
      <formula>#REF!</formula>
    </cfRule>
  </conditionalFormatting>
  <conditionalFormatting sqref="P35">
    <cfRule type="cellIs" dxfId="1437" priority="143" stopIfTrue="1" operator="equal">
      <formula>#REF!</formula>
    </cfRule>
  </conditionalFormatting>
  <conditionalFormatting sqref="P43">
    <cfRule type="cellIs" dxfId="1436" priority="141" stopIfTrue="1" operator="equal">
      <formula>#REF!</formula>
    </cfRule>
  </conditionalFormatting>
  <conditionalFormatting sqref="P44">
    <cfRule type="cellIs" dxfId="1435" priority="140" stopIfTrue="1" operator="equal">
      <formula>#REF!</formula>
    </cfRule>
  </conditionalFormatting>
  <conditionalFormatting sqref="O23">
    <cfRule type="cellIs" dxfId="1434" priority="123" stopIfTrue="1" operator="equal">
      <formula>#REF!</formula>
    </cfRule>
  </conditionalFormatting>
  <conditionalFormatting sqref="P35">
    <cfRule type="cellIs" dxfId="1433" priority="118" stopIfTrue="1" operator="equal">
      <formula>#REF!</formula>
    </cfRule>
  </conditionalFormatting>
  <conditionalFormatting sqref="O38:P39 O40:O42">
    <cfRule type="cellIs" dxfId="1432" priority="110" stopIfTrue="1" operator="equal">
      <formula>#REF!</formula>
    </cfRule>
  </conditionalFormatting>
  <conditionalFormatting sqref="P43">
    <cfRule type="cellIs" dxfId="1431" priority="109" stopIfTrue="1" operator="equal">
      <formula>#REF!</formula>
    </cfRule>
  </conditionalFormatting>
  <conditionalFormatting sqref="P44">
    <cfRule type="cellIs" dxfId="1430" priority="108" stopIfTrue="1" operator="equal">
      <formula>#REF!</formula>
    </cfRule>
  </conditionalFormatting>
  <conditionalFormatting sqref="O59:P61">
    <cfRule type="cellIs" dxfId="1429" priority="96" stopIfTrue="1" operator="equal">
      <formula>#REF!</formula>
    </cfRule>
  </conditionalFormatting>
  <conditionalFormatting sqref="O60:P61">
    <cfRule type="cellIs" dxfId="1428" priority="95" stopIfTrue="1" operator="equal">
      <formula>#REF!</formula>
    </cfRule>
  </conditionalFormatting>
  <conditionalFormatting sqref="O59:P60 P61">
    <cfRule type="cellIs" dxfId="1427" priority="94" stopIfTrue="1" operator="equal">
      <formula>#REF!</formula>
    </cfRule>
  </conditionalFormatting>
  <conditionalFormatting sqref="O60:P61">
    <cfRule type="cellIs" dxfId="1426" priority="93" stopIfTrue="1" operator="equal">
      <formula>#REF!</formula>
    </cfRule>
  </conditionalFormatting>
  <conditionalFormatting sqref="P59">
    <cfRule type="cellIs" dxfId="1425" priority="92" stopIfTrue="1" operator="equal">
      <formula>#REF!</formula>
    </cfRule>
  </conditionalFormatting>
  <conditionalFormatting sqref="P59">
    <cfRule type="cellIs" dxfId="1424" priority="91" stopIfTrue="1" operator="equal">
      <formula>#REF!</formula>
    </cfRule>
  </conditionalFormatting>
  <conditionalFormatting sqref="P59:P61">
    <cfRule type="cellIs" dxfId="1423" priority="90" stopIfTrue="1" operator="equal">
      <formula>#REF!</formula>
    </cfRule>
  </conditionalFormatting>
  <conditionalFormatting sqref="P59:P61">
    <cfRule type="cellIs" dxfId="1422" priority="89" stopIfTrue="1" operator="equal">
      <formula>#REF!</formula>
    </cfRule>
  </conditionalFormatting>
  <conditionalFormatting sqref="P40:P41">
    <cfRule type="cellIs" dxfId="1421" priority="88" stopIfTrue="1" operator="equal">
      <formula>#REF!</formula>
    </cfRule>
  </conditionalFormatting>
  <conditionalFormatting sqref="P40:P41">
    <cfRule type="cellIs" dxfId="1420" priority="87" stopIfTrue="1" operator="equal">
      <formula>#REF!</formula>
    </cfRule>
  </conditionalFormatting>
  <conditionalFormatting sqref="O31:P31">
    <cfRule type="cellIs" dxfId="1419" priority="80" stopIfTrue="1" operator="equal">
      <formula>#REF!</formula>
    </cfRule>
  </conditionalFormatting>
  <conditionalFormatting sqref="O30:P30">
    <cfRule type="cellIs" dxfId="1418" priority="79" stopIfTrue="1" operator="equal">
      <formula>#REF!</formula>
    </cfRule>
  </conditionalFormatting>
  <conditionalFormatting sqref="O32:P32">
    <cfRule type="cellIs" dxfId="1417" priority="78" stopIfTrue="1" operator="equal">
      <formula>#REF!</formula>
    </cfRule>
  </conditionalFormatting>
  <conditionalFormatting sqref="O63">
    <cfRule type="cellIs" dxfId="1416" priority="77" stopIfTrue="1" operator="equal">
      <formula>#REF!</formula>
    </cfRule>
  </conditionalFormatting>
  <conditionalFormatting sqref="O63">
    <cfRule type="cellIs" dxfId="1415" priority="76" stopIfTrue="1" operator="equal">
      <formula>#REF!</formula>
    </cfRule>
  </conditionalFormatting>
  <conditionalFormatting sqref="O63">
    <cfRule type="cellIs" dxfId="1414" priority="74" stopIfTrue="1" operator="equal">
      <formula>#REF!</formula>
    </cfRule>
  </conditionalFormatting>
  <conditionalFormatting sqref="O64">
    <cfRule type="cellIs" dxfId="1413" priority="71" stopIfTrue="1" operator="equal">
      <formula>#REF!</formula>
    </cfRule>
  </conditionalFormatting>
  <conditionalFormatting sqref="O64">
    <cfRule type="cellIs" dxfId="1412" priority="70" stopIfTrue="1" operator="equal">
      <formula>#REF!</formula>
    </cfRule>
  </conditionalFormatting>
  <conditionalFormatting sqref="O64">
    <cfRule type="cellIs" dxfId="1411" priority="68" stopIfTrue="1" operator="equal">
      <formula>#REF!</formula>
    </cfRule>
  </conditionalFormatting>
  <conditionalFormatting sqref="O65">
    <cfRule type="cellIs" dxfId="1410" priority="65" stopIfTrue="1" operator="equal">
      <formula>#REF!</formula>
    </cfRule>
  </conditionalFormatting>
  <conditionalFormatting sqref="O65">
    <cfRule type="cellIs" dxfId="1409" priority="64" stopIfTrue="1" operator="equal">
      <formula>#REF!</formula>
    </cfRule>
  </conditionalFormatting>
  <conditionalFormatting sqref="O65">
    <cfRule type="cellIs" dxfId="1408" priority="62" stopIfTrue="1" operator="equal">
      <formula>#REF!</formula>
    </cfRule>
  </conditionalFormatting>
  <conditionalFormatting sqref="O66">
    <cfRule type="cellIs" dxfId="1407" priority="59" stopIfTrue="1" operator="equal">
      <formula>#REF!</formula>
    </cfRule>
  </conditionalFormatting>
  <conditionalFormatting sqref="O66">
    <cfRule type="cellIs" dxfId="1406" priority="58" stopIfTrue="1" operator="equal">
      <formula>#REF!</formula>
    </cfRule>
  </conditionalFormatting>
  <conditionalFormatting sqref="O66">
    <cfRule type="cellIs" dxfId="1405" priority="56" stopIfTrue="1" operator="equal">
      <formula>#REF!</formula>
    </cfRule>
  </conditionalFormatting>
  <conditionalFormatting sqref="O36:P37">
    <cfRule type="cellIs" dxfId="1404" priority="53" stopIfTrue="1" operator="equal">
      <formula>#REF!</formula>
    </cfRule>
  </conditionalFormatting>
  <conditionalFormatting sqref="O62:P62">
    <cfRule type="cellIs" dxfId="1403" priority="52" stopIfTrue="1" operator="equal">
      <formula>#REF!</formula>
    </cfRule>
  </conditionalFormatting>
  <conditionalFormatting sqref="O62:P62">
    <cfRule type="cellIs" dxfId="1402" priority="51" stopIfTrue="1" operator="equal">
      <formula>#REF!</formula>
    </cfRule>
  </conditionalFormatting>
  <conditionalFormatting sqref="P62">
    <cfRule type="cellIs" dxfId="1401" priority="50" stopIfTrue="1" operator="equal">
      <formula>#REF!</formula>
    </cfRule>
  </conditionalFormatting>
  <conditionalFormatting sqref="O62:P62">
    <cfRule type="cellIs" dxfId="1400" priority="49" stopIfTrue="1" operator="equal">
      <formula>#REF!</formula>
    </cfRule>
  </conditionalFormatting>
  <conditionalFormatting sqref="P62">
    <cfRule type="cellIs" dxfId="1399" priority="48" stopIfTrue="1" operator="equal">
      <formula>#REF!</formula>
    </cfRule>
  </conditionalFormatting>
  <conditionalFormatting sqref="P62">
    <cfRule type="cellIs" dxfId="1398" priority="47" stopIfTrue="1" operator="equal">
      <formula>#REF!</formula>
    </cfRule>
  </conditionalFormatting>
  <conditionalFormatting sqref="P42">
    <cfRule type="cellIs" dxfId="1397" priority="46" stopIfTrue="1" operator="equal">
      <formula>#REF!</formula>
    </cfRule>
  </conditionalFormatting>
  <conditionalFormatting sqref="P42">
    <cfRule type="cellIs" dxfId="1396" priority="45" stopIfTrue="1" operator="equal">
      <formula>#REF!</formula>
    </cfRule>
  </conditionalFormatting>
  <conditionalFormatting sqref="P63">
    <cfRule type="cellIs" dxfId="1395" priority="44" stopIfTrue="1" operator="equal">
      <formula>#REF!</formula>
    </cfRule>
  </conditionalFormatting>
  <conditionalFormatting sqref="P63">
    <cfRule type="cellIs" dxfId="1394" priority="43" stopIfTrue="1" operator="equal">
      <formula>#REF!</formula>
    </cfRule>
  </conditionalFormatting>
  <conditionalFormatting sqref="P63">
    <cfRule type="cellIs" dxfId="1393" priority="42" stopIfTrue="1" operator="equal">
      <formula>#REF!</formula>
    </cfRule>
  </conditionalFormatting>
  <conditionalFormatting sqref="P63">
    <cfRule type="cellIs" dxfId="1392" priority="41" stopIfTrue="1" operator="equal">
      <formula>#REF!</formula>
    </cfRule>
  </conditionalFormatting>
  <conditionalFormatting sqref="P63">
    <cfRule type="cellIs" dxfId="1391" priority="40" stopIfTrue="1" operator="equal">
      <formula>#REF!</formula>
    </cfRule>
  </conditionalFormatting>
  <conditionalFormatting sqref="P63">
    <cfRule type="cellIs" dxfId="1390" priority="39" stopIfTrue="1" operator="equal">
      <formula>#REF!</formula>
    </cfRule>
  </conditionalFormatting>
  <conditionalFormatting sqref="P64">
    <cfRule type="cellIs" dxfId="1389" priority="20" stopIfTrue="1" operator="equal">
      <formula>#REF!</formula>
    </cfRule>
  </conditionalFormatting>
  <conditionalFormatting sqref="P64">
    <cfRule type="cellIs" dxfId="1388" priority="19" stopIfTrue="1" operator="equal">
      <formula>#REF!</formula>
    </cfRule>
  </conditionalFormatting>
  <conditionalFormatting sqref="P64:P66">
    <cfRule type="cellIs" dxfId="1387" priority="18" stopIfTrue="1" operator="equal">
      <formula>#REF!</formula>
    </cfRule>
  </conditionalFormatting>
  <conditionalFormatting sqref="P64:P66">
    <cfRule type="cellIs" dxfId="1386" priority="17" stopIfTrue="1" operator="equal">
      <formula>#REF!</formula>
    </cfRule>
  </conditionalFormatting>
  <conditionalFormatting sqref="P64:P66">
    <cfRule type="cellIs" dxfId="1385" priority="16" stopIfTrue="1" operator="equal">
      <formula>#REF!</formula>
    </cfRule>
  </conditionalFormatting>
  <conditionalFormatting sqref="P64:P66">
    <cfRule type="cellIs" dxfId="1384" priority="15" stopIfTrue="1" operator="equal">
      <formula>#REF!</formula>
    </cfRule>
  </conditionalFormatting>
  <conditionalFormatting sqref="P65">
    <cfRule type="cellIs" dxfId="1383" priority="14" stopIfTrue="1" operator="equal">
      <formula>#REF!</formula>
    </cfRule>
  </conditionalFormatting>
  <conditionalFormatting sqref="P65">
    <cfRule type="cellIs" dxfId="1382" priority="13" stopIfTrue="1" operator="equal">
      <formula>#REF!</formula>
    </cfRule>
  </conditionalFormatting>
  <conditionalFormatting sqref="P65">
    <cfRule type="cellIs" dxfId="1381" priority="12" stopIfTrue="1" operator="equal">
      <formula>#REF!</formula>
    </cfRule>
  </conditionalFormatting>
  <conditionalFormatting sqref="P65">
    <cfRule type="cellIs" dxfId="1380" priority="11" stopIfTrue="1" operator="equal">
      <formula>#REF!</formula>
    </cfRule>
  </conditionalFormatting>
  <conditionalFormatting sqref="P65">
    <cfRule type="cellIs" dxfId="1379" priority="10" stopIfTrue="1" operator="equal">
      <formula>#REF!</formula>
    </cfRule>
  </conditionalFormatting>
  <conditionalFormatting sqref="P65">
    <cfRule type="cellIs" dxfId="1378" priority="9" stopIfTrue="1" operator="equal">
      <formula>#REF!</formula>
    </cfRule>
  </conditionalFormatting>
  <conditionalFormatting sqref="P66">
    <cfRule type="cellIs" dxfId="1377" priority="8" stopIfTrue="1" operator="equal">
      <formula>#REF!</formula>
    </cfRule>
  </conditionalFormatting>
  <conditionalFormatting sqref="P66">
    <cfRule type="cellIs" dxfId="1376" priority="7" stopIfTrue="1" operator="equal">
      <formula>#REF!</formula>
    </cfRule>
  </conditionalFormatting>
  <conditionalFormatting sqref="P66">
    <cfRule type="cellIs" dxfId="1375" priority="6" stopIfTrue="1" operator="equal">
      <formula>#REF!</formula>
    </cfRule>
  </conditionalFormatting>
  <conditionalFormatting sqref="P66">
    <cfRule type="cellIs" dxfId="1374" priority="5" stopIfTrue="1" operator="equal">
      <formula>#REF!</formula>
    </cfRule>
  </conditionalFormatting>
  <conditionalFormatting sqref="P66">
    <cfRule type="cellIs" dxfId="1373" priority="4" stopIfTrue="1" operator="equal">
      <formula>#REF!</formula>
    </cfRule>
  </conditionalFormatting>
  <conditionalFormatting sqref="P66">
    <cfRule type="cellIs" dxfId="1372" priority="3" stopIfTrue="1" operator="equal">
      <formula>#REF!</formula>
    </cfRule>
  </conditionalFormatting>
  <conditionalFormatting sqref="O33:P33">
    <cfRule type="cellIs" dxfId="1371" priority="2" stopIfTrue="1" operator="equal">
      <formula>#REF!</formula>
    </cfRule>
  </conditionalFormatting>
  <conditionalFormatting sqref="O34:P34">
    <cfRule type="cellIs" dxfId="1370" priority="1" stopIfTrue="1" operator="equal">
      <formula>#REF!</formula>
    </cfRule>
  </conditionalFormatting>
  <dataValidations count="5">
    <dataValidation type="list" allowBlank="1" showInputMessage="1" showErrorMessage="1" sqref="D8:D66">
      <formula1>Priorité</formula1>
    </dataValidation>
    <dataValidation type="list" allowBlank="1" showInputMessage="1" showErrorMessage="1" sqref="M8:M66">
      <formula1>Conformité</formula1>
    </dataValidation>
    <dataValidation type="list" allowBlank="1" showInputMessage="1" showErrorMessage="1" sqref="I8:I66">
      <formula1>Etat</formula1>
    </dataValidation>
    <dataValidation type="list" allowBlank="1" showInputMessage="1" showErrorMessage="1" sqref="G8:G66">
      <formula1>"1,2,3"</formula1>
    </dataValidation>
    <dataValidation type="list" allowBlank="1" showInputMessage="1" showErrorMessage="1" sqref="H8:H66">
      <formula1>"complexe,normale,simple"</formula1>
    </dataValidation>
  </dataValidations>
  <printOptions horizontalCentered="1" verticalCentered="1"/>
  <pageMargins left="0" right="0" top="0.35433070866141736" bottom="0.39370078740157483" header="0.31496062992125984" footer="0.15748031496062992"/>
  <pageSetup paperSize="8" scale="74"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technique1">
    <tabColor theme="3"/>
    <pageSetUpPr fitToPage="1"/>
  </sheetPr>
  <dimension ref="A1:S31"/>
  <sheetViews>
    <sheetView showGridLines="0" tabSelected="1" zoomScale="110" zoomScaleNormal="110" workbookViewId="0">
      <selection activeCell="C27" sqref="C27"/>
    </sheetView>
  </sheetViews>
  <sheetFormatPr baseColWidth="10" defaultRowHeight="12.75" x14ac:dyDescent="0.2"/>
  <cols>
    <col min="1" max="1" width="4.85546875" style="160" customWidth="1"/>
    <col min="2" max="2" width="40.42578125" style="211" customWidth="1"/>
    <col min="3" max="3" width="97.7109375" style="211" customWidth="1"/>
    <col min="4" max="6" width="10.7109375" style="211" customWidth="1"/>
    <col min="7" max="7" width="9.85546875" style="211" bestFit="1" customWidth="1"/>
    <col min="8" max="8" width="10.28515625" style="211" hidden="1" customWidth="1"/>
    <col min="9" max="9" width="10.7109375" style="212" customWidth="1"/>
    <col min="10" max="10" width="13.5703125" style="212" hidden="1" customWidth="1"/>
    <col min="11" max="11" width="12.140625" style="212" hidden="1" customWidth="1"/>
    <col min="12" max="12" width="15.28515625" style="212" hidden="1" customWidth="1"/>
    <col min="13" max="13" width="12.85546875" style="212" hidden="1" customWidth="1"/>
    <col min="14" max="14" width="15.28515625" style="212" hidden="1" customWidth="1"/>
    <col min="15" max="15" width="10.7109375" style="212" hidden="1" customWidth="1"/>
    <col min="16" max="16" width="18.7109375" style="211" customWidth="1"/>
    <col min="17" max="17" width="48.140625" style="211" customWidth="1"/>
    <col min="18" max="18" width="45.7109375" style="163" customWidth="1"/>
    <col min="19" max="19" width="79.140625" style="163" customWidth="1"/>
    <col min="20" max="21" width="45.7109375" style="163" customWidth="1"/>
    <col min="22" max="22" width="9" style="163" bestFit="1" customWidth="1"/>
    <col min="23" max="16384" width="11.42578125" style="163"/>
  </cols>
  <sheetData>
    <row r="1" spans="1:19" x14ac:dyDescent="0.2">
      <c r="B1" s="229" t="s">
        <v>152</v>
      </c>
      <c r="C1" s="249" t="s">
        <v>158</v>
      </c>
      <c r="D1" s="249"/>
      <c r="E1" s="249"/>
      <c r="F1" s="249"/>
      <c r="G1" s="249"/>
      <c r="H1" s="249"/>
      <c r="I1" s="249"/>
      <c r="J1" s="249"/>
      <c r="K1" s="249"/>
      <c r="L1" s="249"/>
      <c r="M1" s="249"/>
      <c r="N1" s="249"/>
      <c r="O1" s="249"/>
      <c r="P1" s="249"/>
      <c r="Q1" s="249"/>
      <c r="R1" s="249"/>
      <c r="S1" s="249"/>
    </row>
    <row r="2" spans="1:19" ht="12.75" customHeight="1" x14ac:dyDescent="0.2">
      <c r="B2" s="250" t="s">
        <v>195</v>
      </c>
      <c r="C2" s="250"/>
      <c r="D2" s="250"/>
      <c r="E2" s="250"/>
      <c r="F2" s="250"/>
      <c r="G2" s="250"/>
      <c r="H2" s="212"/>
      <c r="P2" s="212"/>
      <c r="Q2" s="212"/>
    </row>
    <row r="3" spans="1:19" x14ac:dyDescent="0.2">
      <c r="B3" s="247" t="s">
        <v>41</v>
      </c>
      <c r="C3" s="247"/>
      <c r="D3" s="247"/>
      <c r="E3" s="247"/>
      <c r="F3" s="247"/>
      <c r="G3" s="247"/>
      <c r="H3" s="247"/>
      <c r="I3" s="247"/>
      <c r="J3" s="247"/>
      <c r="K3" s="247"/>
      <c r="L3" s="247"/>
      <c r="M3" s="228"/>
      <c r="N3" s="228"/>
      <c r="O3" s="228"/>
      <c r="P3" s="165"/>
      <c r="Q3" s="165"/>
    </row>
    <row r="4" spans="1:19" ht="13.5" thickBot="1" x14ac:dyDescent="0.25">
      <c r="B4" s="167"/>
      <c r="C4" s="167"/>
      <c r="D4" s="167"/>
      <c r="E4" s="167"/>
      <c r="F4" s="167"/>
      <c r="G4" s="167"/>
      <c r="H4" s="167"/>
      <c r="I4" s="167"/>
      <c r="J4" s="167"/>
      <c r="K4" s="167"/>
      <c r="L4" s="167"/>
      <c r="M4" s="167"/>
      <c r="N4" s="167"/>
      <c r="O4" s="167"/>
      <c r="P4" s="167"/>
      <c r="Q4" s="167"/>
    </row>
    <row r="5" spans="1:19" s="174" customFormat="1" ht="10.5" x14ac:dyDescent="0.2">
      <c r="A5" s="168"/>
      <c r="B5" s="169" t="s">
        <v>94</v>
      </c>
      <c r="C5" s="170" t="s">
        <v>95</v>
      </c>
      <c r="D5" s="170" t="s">
        <v>96</v>
      </c>
      <c r="E5" s="170"/>
      <c r="F5" s="170"/>
      <c r="G5" s="170"/>
      <c r="H5" s="170"/>
      <c r="I5" s="170"/>
      <c r="J5" s="171"/>
      <c r="K5" s="171"/>
      <c r="L5" s="171"/>
      <c r="M5" s="171"/>
      <c r="N5" s="171"/>
      <c r="O5" s="172"/>
      <c r="P5" s="172"/>
      <c r="Q5" s="173"/>
    </row>
    <row r="6" spans="1:19" s="174" customFormat="1" ht="11.25" thickBot="1" x14ac:dyDescent="0.25">
      <c r="A6" s="168"/>
      <c r="B6" s="217">
        <f>COUNTA(B8:B951)</f>
        <v>24</v>
      </c>
      <c r="C6" s="218">
        <f>SUBTOTAL(3,B8:B951)</f>
        <v>24</v>
      </c>
      <c r="D6" s="219">
        <f>IF(C6=0,0,C6/B6)</f>
        <v>1</v>
      </c>
      <c r="E6" s="219"/>
      <c r="F6" s="219"/>
      <c r="G6" s="218"/>
      <c r="H6" s="218"/>
      <c r="I6" s="218"/>
      <c r="J6" s="220"/>
      <c r="K6" s="220"/>
      <c r="L6" s="220"/>
      <c r="M6" s="221"/>
      <c r="N6" s="221"/>
      <c r="P6" s="222"/>
      <c r="Q6" s="223"/>
    </row>
    <row r="7" spans="1:19" ht="42.75" customHeight="1" thickBot="1" x14ac:dyDescent="0.25">
      <c r="B7" s="224" t="s">
        <v>14</v>
      </c>
      <c r="C7" s="230" t="s">
        <v>13</v>
      </c>
      <c r="D7" s="183" t="s">
        <v>126</v>
      </c>
      <c r="E7" s="183" t="s">
        <v>110</v>
      </c>
      <c r="F7" s="183" t="s">
        <v>101</v>
      </c>
      <c r="G7" s="183" t="s">
        <v>128</v>
      </c>
      <c r="H7" s="183" t="s">
        <v>127</v>
      </c>
      <c r="I7" s="183" t="s">
        <v>108</v>
      </c>
      <c r="J7" s="183" t="s">
        <v>15</v>
      </c>
      <c r="K7" s="183" t="s">
        <v>30</v>
      </c>
      <c r="L7" s="183" t="s">
        <v>120</v>
      </c>
      <c r="M7" s="183" t="s">
        <v>74</v>
      </c>
      <c r="N7" s="183" t="s">
        <v>75</v>
      </c>
      <c r="O7" s="183" t="s">
        <v>130</v>
      </c>
      <c r="P7" s="183" t="s">
        <v>66</v>
      </c>
      <c r="Q7" s="225" t="s">
        <v>129</v>
      </c>
    </row>
    <row r="8" spans="1:19" x14ac:dyDescent="0.2">
      <c r="A8" s="160">
        <v>1</v>
      </c>
      <c r="B8" s="231" t="s">
        <v>192</v>
      </c>
      <c r="C8" s="186" t="s">
        <v>181</v>
      </c>
      <c r="D8" s="187"/>
      <c r="E8" s="187"/>
      <c r="F8" s="187"/>
      <c r="G8" s="187">
        <v>1</v>
      </c>
      <c r="H8" s="187"/>
      <c r="I8" s="188"/>
      <c r="J8" s="187"/>
      <c r="K8" s="187"/>
      <c r="L8" s="186"/>
      <c r="M8" s="188"/>
      <c r="N8" s="186"/>
      <c r="O8" s="195"/>
      <c r="P8" s="192"/>
      <c r="Q8" s="197"/>
    </row>
    <row r="9" spans="1:19" x14ac:dyDescent="0.2">
      <c r="A9" s="160">
        <f>A8+1</f>
        <v>2</v>
      </c>
      <c r="B9" s="231" t="s">
        <v>193</v>
      </c>
      <c r="C9" s="186" t="s">
        <v>257</v>
      </c>
      <c r="D9" s="232"/>
      <c r="E9" s="187"/>
      <c r="F9" s="187"/>
      <c r="G9" s="187">
        <v>2</v>
      </c>
      <c r="H9" s="187"/>
      <c r="I9" s="188"/>
      <c r="J9" s="187"/>
      <c r="K9" s="187"/>
      <c r="L9" s="186"/>
      <c r="M9" s="188"/>
      <c r="N9" s="186"/>
      <c r="O9" s="195"/>
      <c r="P9" s="192"/>
      <c r="Q9" s="235"/>
    </row>
    <row r="10" spans="1:19" x14ac:dyDescent="0.2">
      <c r="B10" s="231" t="s">
        <v>270</v>
      </c>
      <c r="C10" s="186" t="s">
        <v>269</v>
      </c>
      <c r="D10" s="232"/>
      <c r="E10" s="187"/>
      <c r="F10" s="187"/>
      <c r="G10" s="187">
        <v>1</v>
      </c>
      <c r="H10" s="187"/>
      <c r="I10" s="188"/>
      <c r="J10" s="187"/>
      <c r="K10" s="187"/>
      <c r="L10" s="186"/>
      <c r="M10" s="188"/>
      <c r="N10" s="186"/>
      <c r="O10" s="195"/>
      <c r="P10" s="192"/>
      <c r="Q10" s="235"/>
    </row>
    <row r="11" spans="1:19" ht="25.5" x14ac:dyDescent="0.2">
      <c r="A11" s="160">
        <f>A9+1</f>
        <v>3</v>
      </c>
      <c r="B11" s="231" t="s">
        <v>206</v>
      </c>
      <c r="C11" s="186" t="s">
        <v>258</v>
      </c>
      <c r="D11" s="187"/>
      <c r="E11" s="187"/>
      <c r="F11" s="187"/>
      <c r="G11" s="187">
        <v>1</v>
      </c>
      <c r="H11" s="187"/>
      <c r="I11" s="188"/>
      <c r="J11" s="187"/>
      <c r="K11" s="187"/>
      <c r="L11" s="186"/>
      <c r="M11" s="188"/>
      <c r="N11" s="186"/>
      <c r="O11" s="195"/>
      <c r="P11" s="192"/>
      <c r="Q11" s="197"/>
    </row>
    <row r="12" spans="1:19" x14ac:dyDescent="0.2">
      <c r="A12" s="160">
        <v>4</v>
      </c>
      <c r="B12" s="231" t="s">
        <v>207</v>
      </c>
      <c r="C12" s="186" t="s">
        <v>259</v>
      </c>
      <c r="D12" s="187"/>
      <c r="E12" s="187"/>
      <c r="F12" s="187"/>
      <c r="G12" s="187">
        <v>3</v>
      </c>
      <c r="H12" s="187"/>
      <c r="I12" s="188"/>
      <c r="J12" s="187"/>
      <c r="K12" s="187"/>
      <c r="L12" s="186"/>
      <c r="M12" s="188"/>
      <c r="N12" s="186"/>
      <c r="O12" s="195"/>
      <c r="P12" s="192"/>
      <c r="Q12" s="197"/>
    </row>
    <row r="13" spans="1:19" ht="25.5" x14ac:dyDescent="0.2">
      <c r="A13" s="160">
        <v>5</v>
      </c>
      <c r="B13" s="231" t="s">
        <v>208</v>
      </c>
      <c r="C13" s="186" t="s">
        <v>260</v>
      </c>
      <c r="D13" s="232"/>
      <c r="E13" s="187"/>
      <c r="F13" s="187"/>
      <c r="G13" s="187">
        <v>1</v>
      </c>
      <c r="H13" s="187"/>
      <c r="I13" s="188"/>
      <c r="J13" s="187"/>
      <c r="K13" s="187"/>
      <c r="L13" s="186"/>
      <c r="M13" s="188"/>
      <c r="N13" s="186"/>
      <c r="O13" s="195"/>
      <c r="P13" s="192"/>
      <c r="Q13" s="235"/>
    </row>
    <row r="14" spans="1:19" x14ac:dyDescent="0.2">
      <c r="A14" s="160">
        <f t="shared" ref="A14:A31" si="0">A13+1</f>
        <v>6</v>
      </c>
      <c r="B14" s="231" t="s">
        <v>224</v>
      </c>
      <c r="C14" s="186" t="s">
        <v>184</v>
      </c>
      <c r="D14" s="187"/>
      <c r="E14" s="187"/>
      <c r="F14" s="187"/>
      <c r="G14" s="187">
        <v>3</v>
      </c>
      <c r="H14" s="187"/>
      <c r="I14" s="188"/>
      <c r="J14" s="187"/>
      <c r="K14" s="187"/>
      <c r="L14" s="186"/>
      <c r="M14" s="188"/>
      <c r="N14" s="186"/>
      <c r="O14" s="195"/>
      <c r="P14" s="192"/>
      <c r="Q14" s="197"/>
    </row>
    <row r="15" spans="1:19" ht="25.5" x14ac:dyDescent="0.2">
      <c r="A15" s="160">
        <v>7</v>
      </c>
      <c r="B15" s="231" t="s">
        <v>214</v>
      </c>
      <c r="C15" s="186" t="s">
        <v>182</v>
      </c>
      <c r="D15" s="187"/>
      <c r="E15" s="187"/>
      <c r="F15" s="187"/>
      <c r="G15" s="187">
        <v>1</v>
      </c>
      <c r="H15" s="187"/>
      <c r="I15" s="188"/>
      <c r="J15" s="187"/>
      <c r="K15" s="187"/>
      <c r="L15" s="186"/>
      <c r="M15" s="188"/>
      <c r="N15" s="186"/>
      <c r="O15" s="195"/>
      <c r="P15" s="192"/>
      <c r="Q15" s="197"/>
    </row>
    <row r="16" spans="1:19" ht="25.5" x14ac:dyDescent="0.2">
      <c r="A16" s="160">
        <f t="shared" si="0"/>
        <v>8</v>
      </c>
      <c r="B16" s="231" t="s">
        <v>215</v>
      </c>
      <c r="C16" s="186" t="s">
        <v>183</v>
      </c>
      <c r="D16" s="187"/>
      <c r="E16" s="187"/>
      <c r="F16" s="187"/>
      <c r="G16" s="187">
        <v>1</v>
      </c>
      <c r="H16" s="187"/>
      <c r="I16" s="188"/>
      <c r="J16" s="187"/>
      <c r="K16" s="187"/>
      <c r="L16" s="186"/>
      <c r="M16" s="188"/>
      <c r="N16" s="186"/>
      <c r="O16" s="195"/>
      <c r="P16" s="192"/>
      <c r="Q16" s="197"/>
    </row>
    <row r="17" spans="1:17" x14ac:dyDescent="0.2">
      <c r="A17" s="160">
        <f t="shared" si="0"/>
        <v>9</v>
      </c>
      <c r="B17" s="231" t="s">
        <v>228</v>
      </c>
      <c r="C17" s="193" t="s">
        <v>230</v>
      </c>
      <c r="D17" s="193"/>
      <c r="E17" s="193"/>
      <c r="F17" s="193"/>
      <c r="G17" s="187">
        <v>1</v>
      </c>
      <c r="H17" s="187"/>
      <c r="I17" s="188"/>
      <c r="J17" s="187"/>
      <c r="K17" s="187"/>
      <c r="L17" s="186"/>
      <c r="M17" s="188"/>
      <c r="N17" s="186"/>
      <c r="O17" s="195"/>
      <c r="P17" s="192"/>
      <c r="Q17" s="197"/>
    </row>
    <row r="18" spans="1:17" x14ac:dyDescent="0.2">
      <c r="A18" s="160">
        <f t="shared" si="0"/>
        <v>10</v>
      </c>
      <c r="B18" s="231" t="s">
        <v>229</v>
      </c>
      <c r="C18" s="193" t="s">
        <v>231</v>
      </c>
      <c r="D18" s="193"/>
      <c r="E18" s="193"/>
      <c r="F18" s="193"/>
      <c r="G18" s="187">
        <v>1</v>
      </c>
      <c r="H18" s="187"/>
      <c r="I18" s="188"/>
      <c r="J18" s="187"/>
      <c r="K18" s="187"/>
      <c r="L18" s="186"/>
      <c r="M18" s="188"/>
      <c r="N18" s="186"/>
      <c r="O18" s="195"/>
      <c r="P18" s="192"/>
      <c r="Q18" s="197"/>
    </row>
    <row r="19" spans="1:17" x14ac:dyDescent="0.2">
      <c r="A19" s="160">
        <f t="shared" si="0"/>
        <v>11</v>
      </c>
      <c r="B19" s="231" t="s">
        <v>209</v>
      </c>
      <c r="C19" s="186" t="s">
        <v>261</v>
      </c>
      <c r="D19" s="187"/>
      <c r="E19" s="187"/>
      <c r="F19" s="187"/>
      <c r="G19" s="187">
        <v>2</v>
      </c>
      <c r="H19" s="187"/>
      <c r="I19" s="188"/>
      <c r="J19" s="187"/>
      <c r="K19" s="187"/>
      <c r="L19" s="186"/>
      <c r="M19" s="188"/>
      <c r="N19" s="186"/>
      <c r="O19" s="195"/>
      <c r="P19" s="192"/>
      <c r="Q19" s="197"/>
    </row>
    <row r="20" spans="1:17" ht="25.5" x14ac:dyDescent="0.2">
      <c r="A20" s="160">
        <f t="shared" si="0"/>
        <v>12</v>
      </c>
      <c r="B20" s="231" t="s">
        <v>210</v>
      </c>
      <c r="C20" s="186" t="s">
        <v>262</v>
      </c>
      <c r="D20" s="187"/>
      <c r="E20" s="187"/>
      <c r="F20" s="241"/>
      <c r="G20" s="187">
        <v>1</v>
      </c>
      <c r="H20" s="187"/>
      <c r="I20" s="188"/>
      <c r="J20" s="187"/>
      <c r="K20" s="187"/>
      <c r="L20" s="186"/>
      <c r="M20" s="188"/>
      <c r="N20" s="186"/>
      <c r="O20" s="195"/>
      <c r="P20" s="192"/>
      <c r="Q20" s="197"/>
    </row>
    <row r="21" spans="1:17" x14ac:dyDescent="0.2">
      <c r="A21" s="160">
        <f t="shared" si="0"/>
        <v>13</v>
      </c>
      <c r="B21" s="231" t="s">
        <v>211</v>
      </c>
      <c r="C21" s="186" t="s">
        <v>185</v>
      </c>
      <c r="D21" s="187"/>
      <c r="E21" s="187"/>
      <c r="F21" s="187"/>
      <c r="G21" s="187">
        <v>1</v>
      </c>
      <c r="H21" s="187"/>
      <c r="I21" s="233"/>
      <c r="J21" s="187"/>
      <c r="K21" s="187"/>
      <c r="L21" s="186"/>
      <c r="M21" s="188"/>
      <c r="N21" s="186"/>
      <c r="O21" s="195"/>
      <c r="P21" s="234"/>
      <c r="Q21" s="235"/>
    </row>
    <row r="22" spans="1:17" x14ac:dyDescent="0.2">
      <c r="A22" s="160">
        <f t="shared" si="0"/>
        <v>14</v>
      </c>
      <c r="B22" s="231" t="s">
        <v>212</v>
      </c>
      <c r="C22" s="186" t="s">
        <v>186</v>
      </c>
      <c r="D22" s="187"/>
      <c r="E22" s="187"/>
      <c r="F22" s="187"/>
      <c r="G22" s="187">
        <v>1</v>
      </c>
      <c r="H22" s="187"/>
      <c r="I22" s="188"/>
      <c r="J22" s="187"/>
      <c r="K22" s="187"/>
      <c r="L22" s="186"/>
      <c r="M22" s="188"/>
      <c r="N22" s="186"/>
      <c r="O22" s="195"/>
      <c r="P22" s="192"/>
      <c r="Q22" s="197"/>
    </row>
    <row r="23" spans="1:17" ht="25.5" x14ac:dyDescent="0.2">
      <c r="A23" s="160">
        <f t="shared" si="0"/>
        <v>15</v>
      </c>
      <c r="B23" s="231" t="s">
        <v>213</v>
      </c>
      <c r="C23" s="186" t="s">
        <v>187</v>
      </c>
      <c r="D23" s="187"/>
      <c r="E23" s="187"/>
      <c r="F23" s="187"/>
      <c r="G23" s="187">
        <v>1</v>
      </c>
      <c r="H23" s="187"/>
      <c r="I23" s="188"/>
      <c r="J23" s="187"/>
      <c r="K23" s="187"/>
      <c r="L23" s="186"/>
      <c r="M23" s="188"/>
      <c r="N23" s="186"/>
      <c r="O23" s="195"/>
      <c r="P23" s="192"/>
      <c r="Q23" s="197"/>
    </row>
    <row r="24" spans="1:17" ht="25.5" x14ac:dyDescent="0.2">
      <c r="A24" s="160">
        <f t="shared" si="0"/>
        <v>16</v>
      </c>
      <c r="B24" s="231" t="s">
        <v>225</v>
      </c>
      <c r="C24" s="186" t="s">
        <v>227</v>
      </c>
      <c r="D24" s="232"/>
      <c r="E24" s="232"/>
      <c r="F24" s="232"/>
      <c r="G24" s="187">
        <v>1</v>
      </c>
      <c r="H24" s="187"/>
      <c r="I24" s="188"/>
      <c r="J24" s="187"/>
      <c r="K24" s="187"/>
      <c r="L24" s="186"/>
      <c r="M24" s="188"/>
      <c r="N24" s="186"/>
      <c r="O24" s="195"/>
      <c r="P24" s="192"/>
      <c r="Q24" s="197"/>
    </row>
    <row r="25" spans="1:17" ht="25.5" x14ac:dyDescent="0.2">
      <c r="A25" s="160">
        <v>17</v>
      </c>
      <c r="B25" s="231" t="s">
        <v>226</v>
      </c>
      <c r="C25" s="186" t="s">
        <v>232</v>
      </c>
      <c r="D25" s="187"/>
      <c r="E25" s="187"/>
      <c r="F25" s="187"/>
      <c r="G25" s="187">
        <v>1</v>
      </c>
      <c r="H25" s="187"/>
      <c r="I25" s="188"/>
      <c r="J25" s="187"/>
      <c r="K25" s="187"/>
      <c r="L25" s="186"/>
      <c r="M25" s="188"/>
      <c r="N25" s="186"/>
      <c r="O25" s="195"/>
      <c r="P25" s="195"/>
      <c r="Q25" s="197"/>
    </row>
    <row r="26" spans="1:17" x14ac:dyDescent="0.2">
      <c r="A26" s="160">
        <v>18</v>
      </c>
      <c r="B26" s="231" t="s">
        <v>267</v>
      </c>
      <c r="C26" s="186" t="s">
        <v>268</v>
      </c>
      <c r="D26" s="187"/>
      <c r="E26" s="187"/>
      <c r="F26" s="187"/>
      <c r="G26" s="187">
        <v>2</v>
      </c>
      <c r="H26" s="187"/>
      <c r="I26" s="188"/>
      <c r="J26" s="187"/>
      <c r="K26" s="187"/>
      <c r="L26" s="186"/>
      <c r="M26" s="188"/>
      <c r="N26" s="186"/>
      <c r="O26" s="195"/>
      <c r="P26" s="195"/>
      <c r="Q26" s="197"/>
    </row>
    <row r="27" spans="1:17" x14ac:dyDescent="0.2">
      <c r="A27" s="160">
        <v>19</v>
      </c>
      <c r="B27" s="231" t="s">
        <v>216</v>
      </c>
      <c r="C27" s="186" t="s">
        <v>194</v>
      </c>
      <c r="D27" s="187"/>
      <c r="E27" s="187"/>
      <c r="F27" s="187"/>
      <c r="G27" s="187">
        <v>1</v>
      </c>
      <c r="H27" s="187"/>
      <c r="I27" s="188"/>
      <c r="J27" s="187"/>
      <c r="K27" s="187"/>
      <c r="L27" s="186"/>
      <c r="M27" s="188"/>
      <c r="N27" s="186"/>
      <c r="O27" s="195"/>
      <c r="P27" s="195"/>
      <c r="Q27" s="197"/>
    </row>
    <row r="28" spans="1:17" ht="25.5" x14ac:dyDescent="0.2">
      <c r="A28" s="160">
        <f t="shared" si="0"/>
        <v>20</v>
      </c>
      <c r="B28" s="231" t="s">
        <v>217</v>
      </c>
      <c r="C28" s="186" t="s">
        <v>263</v>
      </c>
      <c r="D28" s="187"/>
      <c r="E28" s="187"/>
      <c r="F28" s="187"/>
      <c r="G28" s="187">
        <v>3</v>
      </c>
      <c r="H28" s="187"/>
      <c r="I28" s="188"/>
      <c r="J28" s="187"/>
      <c r="K28" s="187"/>
      <c r="L28" s="186"/>
      <c r="M28" s="188"/>
      <c r="N28" s="186"/>
      <c r="O28" s="195"/>
      <c r="P28" s="192"/>
      <c r="Q28" s="197"/>
    </row>
    <row r="29" spans="1:17" ht="25.5" x14ac:dyDescent="0.2">
      <c r="A29" s="160">
        <v>21</v>
      </c>
      <c r="B29" s="231" t="s">
        <v>218</v>
      </c>
      <c r="C29" s="186" t="s">
        <v>264</v>
      </c>
      <c r="D29" s="187"/>
      <c r="E29" s="187"/>
      <c r="F29" s="187"/>
      <c r="G29" s="187">
        <v>1</v>
      </c>
      <c r="H29" s="187"/>
      <c r="I29" s="188"/>
      <c r="J29" s="187"/>
      <c r="K29" s="187"/>
      <c r="L29" s="186"/>
      <c r="M29" s="188"/>
      <c r="N29" s="186"/>
      <c r="O29" s="195"/>
      <c r="P29" s="192"/>
      <c r="Q29" s="197"/>
    </row>
    <row r="30" spans="1:17" ht="25.5" x14ac:dyDescent="0.2">
      <c r="A30" s="160">
        <f t="shared" si="0"/>
        <v>22</v>
      </c>
      <c r="B30" s="231" t="s">
        <v>219</v>
      </c>
      <c r="C30" s="186" t="s">
        <v>265</v>
      </c>
      <c r="D30" s="187"/>
      <c r="E30" s="187"/>
      <c r="F30" s="187"/>
      <c r="G30" s="187">
        <v>1</v>
      </c>
      <c r="H30" s="187"/>
      <c r="I30" s="188"/>
      <c r="J30" s="187"/>
      <c r="K30" s="187"/>
      <c r="L30" s="186"/>
      <c r="M30" s="188"/>
      <c r="N30" s="186"/>
      <c r="O30" s="195"/>
      <c r="P30" s="192"/>
      <c r="Q30" s="197"/>
    </row>
    <row r="31" spans="1:17" ht="25.5" x14ac:dyDescent="0.2">
      <c r="A31" s="160">
        <f t="shared" si="0"/>
        <v>23</v>
      </c>
      <c r="B31" s="231" t="s">
        <v>220</v>
      </c>
      <c r="C31" s="186" t="s">
        <v>266</v>
      </c>
      <c r="D31" s="187"/>
      <c r="E31" s="187"/>
      <c r="F31" s="187"/>
      <c r="G31" s="187">
        <v>3</v>
      </c>
      <c r="H31" s="187"/>
      <c r="I31" s="188"/>
      <c r="J31" s="187"/>
      <c r="K31" s="187"/>
      <c r="L31" s="186"/>
      <c r="M31" s="188"/>
      <c r="N31" s="186"/>
      <c r="O31" s="195"/>
      <c r="P31" s="192"/>
      <c r="Q31" s="197"/>
    </row>
  </sheetData>
  <autoFilter ref="A7:S32"/>
  <mergeCells count="3">
    <mergeCell ref="C1:S1"/>
    <mergeCell ref="B2:G2"/>
    <mergeCell ref="B3:L3"/>
  </mergeCells>
  <conditionalFormatting sqref="O25:P27 O8:O15">
    <cfRule type="cellIs" dxfId="1369" priority="1766" stopIfTrue="1" operator="equal">
      <formula>#REF!</formula>
    </cfRule>
  </conditionalFormatting>
  <conditionalFormatting sqref="P8">
    <cfRule type="cellIs" dxfId="1368" priority="1765" stopIfTrue="1" operator="equal">
      <formula>#REF!</formula>
    </cfRule>
  </conditionalFormatting>
  <conditionalFormatting sqref="P9:P10">
    <cfRule type="cellIs" dxfId="1367" priority="1764" stopIfTrue="1" operator="equal">
      <formula>#REF!</formula>
    </cfRule>
  </conditionalFormatting>
  <conditionalFormatting sqref="P11:P12">
    <cfRule type="cellIs" dxfId="1366" priority="1763" stopIfTrue="1" operator="equal">
      <formula>#REF!</formula>
    </cfRule>
  </conditionalFormatting>
  <conditionalFormatting sqref="P13">
    <cfRule type="cellIs" dxfId="1365" priority="1762" stopIfTrue="1" operator="equal">
      <formula>#REF!</formula>
    </cfRule>
  </conditionalFormatting>
  <conditionalFormatting sqref="P14">
    <cfRule type="cellIs" dxfId="1364" priority="1761" stopIfTrue="1" operator="equal">
      <formula>#REF!</formula>
    </cfRule>
  </conditionalFormatting>
  <conditionalFormatting sqref="P15">
    <cfRule type="cellIs" dxfId="1363" priority="1759" stopIfTrue="1" operator="equal">
      <formula>#REF!</formula>
    </cfRule>
  </conditionalFormatting>
  <conditionalFormatting sqref="O16">
    <cfRule type="cellIs" dxfId="1362" priority="1758" stopIfTrue="1" operator="equal">
      <formula>#REF!</formula>
    </cfRule>
  </conditionalFormatting>
  <conditionalFormatting sqref="P16">
    <cfRule type="cellIs" dxfId="1361" priority="1757" stopIfTrue="1" operator="equal">
      <formula>#REF!</formula>
    </cfRule>
  </conditionalFormatting>
  <conditionalFormatting sqref="O17">
    <cfRule type="cellIs" dxfId="1360" priority="1756" stopIfTrue="1" operator="equal">
      <formula>#REF!</formula>
    </cfRule>
  </conditionalFormatting>
  <conditionalFormatting sqref="P17">
    <cfRule type="cellIs" dxfId="1359" priority="1755" stopIfTrue="1" operator="equal">
      <formula>#REF!</formula>
    </cfRule>
  </conditionalFormatting>
  <conditionalFormatting sqref="O18">
    <cfRule type="cellIs" dxfId="1358" priority="1754" stopIfTrue="1" operator="equal">
      <formula>#REF!</formula>
    </cfRule>
  </conditionalFormatting>
  <conditionalFormatting sqref="P18">
    <cfRule type="cellIs" dxfId="1357" priority="1753" stopIfTrue="1" operator="equal">
      <formula>#REF!</formula>
    </cfRule>
  </conditionalFormatting>
  <conditionalFormatting sqref="O19">
    <cfRule type="cellIs" dxfId="1356" priority="1752" stopIfTrue="1" operator="equal">
      <formula>#REF!</formula>
    </cfRule>
  </conditionalFormatting>
  <conditionalFormatting sqref="P19">
    <cfRule type="cellIs" dxfId="1355" priority="1751" stopIfTrue="1" operator="equal">
      <formula>#REF!</formula>
    </cfRule>
  </conditionalFormatting>
  <conditionalFormatting sqref="O20">
    <cfRule type="cellIs" dxfId="1354" priority="1750" stopIfTrue="1" operator="equal">
      <formula>#REF!</formula>
    </cfRule>
  </conditionalFormatting>
  <conditionalFormatting sqref="P20">
    <cfRule type="cellIs" dxfId="1353" priority="1749" stopIfTrue="1" operator="equal">
      <formula>#REF!</formula>
    </cfRule>
  </conditionalFormatting>
  <conditionalFormatting sqref="O21">
    <cfRule type="cellIs" dxfId="1352" priority="1748" stopIfTrue="1" operator="equal">
      <formula>#REF!</formula>
    </cfRule>
  </conditionalFormatting>
  <conditionalFormatting sqref="P21">
    <cfRule type="cellIs" dxfId="1351" priority="1747" stopIfTrue="1" operator="equal">
      <formula>#REF!</formula>
    </cfRule>
  </conditionalFormatting>
  <conditionalFormatting sqref="O22">
    <cfRule type="cellIs" dxfId="1350" priority="1746" stopIfTrue="1" operator="equal">
      <formula>#REF!</formula>
    </cfRule>
  </conditionalFormatting>
  <conditionalFormatting sqref="P22">
    <cfRule type="cellIs" dxfId="1349" priority="1745" stopIfTrue="1" operator="equal">
      <formula>#REF!</formula>
    </cfRule>
  </conditionalFormatting>
  <conditionalFormatting sqref="O24">
    <cfRule type="cellIs" dxfId="1348" priority="1744" stopIfTrue="1" operator="equal">
      <formula>#REF!</formula>
    </cfRule>
  </conditionalFormatting>
  <conditionalFormatting sqref="P24">
    <cfRule type="cellIs" dxfId="1347" priority="1743" stopIfTrue="1" operator="equal">
      <formula>#REF!</formula>
    </cfRule>
  </conditionalFormatting>
  <conditionalFormatting sqref="O23">
    <cfRule type="cellIs" dxfId="1346" priority="1740" stopIfTrue="1" operator="equal">
      <formula>#REF!</formula>
    </cfRule>
  </conditionalFormatting>
  <conditionalFormatting sqref="P23">
    <cfRule type="cellIs" dxfId="1345" priority="1739" stopIfTrue="1" operator="equal">
      <formula>#REF!</formula>
    </cfRule>
  </conditionalFormatting>
  <conditionalFormatting sqref="O28">
    <cfRule type="cellIs" dxfId="1344" priority="1738" stopIfTrue="1" operator="equal">
      <formula>#REF!</formula>
    </cfRule>
  </conditionalFormatting>
  <conditionalFormatting sqref="P28">
    <cfRule type="cellIs" dxfId="1343" priority="1737" stopIfTrue="1" operator="equal">
      <formula>#REF!</formula>
    </cfRule>
  </conditionalFormatting>
  <conditionalFormatting sqref="O29:O30 O30:P31">
    <cfRule type="cellIs" dxfId="1342" priority="1724" stopIfTrue="1" operator="equal">
      <formula>#REF!</formula>
    </cfRule>
  </conditionalFormatting>
  <conditionalFormatting sqref="P29">
    <cfRule type="cellIs" dxfId="1341" priority="1717" stopIfTrue="1" operator="equal">
      <formula>#REF!</formula>
    </cfRule>
  </conditionalFormatting>
  <conditionalFormatting sqref="P29">
    <cfRule type="cellIs" dxfId="1340" priority="1716" stopIfTrue="1" operator="equal">
      <formula>#REF!</formula>
    </cfRule>
  </conditionalFormatting>
  <conditionalFormatting sqref="P29">
    <cfRule type="cellIs" dxfId="1339" priority="1715" stopIfTrue="1" operator="equal">
      <formula>#REF!</formula>
    </cfRule>
  </conditionalFormatting>
  <conditionalFormatting sqref="P29">
    <cfRule type="cellIs" dxfId="1338" priority="1714" stopIfTrue="1" operator="equal">
      <formula>#REF!</formula>
    </cfRule>
  </conditionalFormatting>
  <conditionalFormatting sqref="P29">
    <cfRule type="cellIs" dxfId="1337" priority="1713" stopIfTrue="1" operator="equal">
      <formula>#REF!</formula>
    </cfRule>
  </conditionalFormatting>
  <conditionalFormatting sqref="P29">
    <cfRule type="cellIs" dxfId="1336" priority="1712" stopIfTrue="1" operator="equal">
      <formula>#REF!</formula>
    </cfRule>
  </conditionalFormatting>
  <conditionalFormatting sqref="P30">
    <cfRule type="cellIs" dxfId="1334" priority="1706" stopIfTrue="1" operator="equal">
      <formula>#REF!</formula>
    </cfRule>
  </conditionalFormatting>
  <conditionalFormatting sqref="P30">
    <cfRule type="cellIs" dxfId="1333" priority="1705" stopIfTrue="1" operator="equal">
      <formula>#REF!</formula>
    </cfRule>
  </conditionalFormatting>
  <conditionalFormatting sqref="P30">
    <cfRule type="cellIs" dxfId="1332" priority="1704" stopIfTrue="1" operator="equal">
      <formula>#REF!</formula>
    </cfRule>
  </conditionalFormatting>
  <conditionalFormatting sqref="P30">
    <cfRule type="cellIs" dxfId="1331" priority="1703" stopIfTrue="1" operator="equal">
      <formula>#REF!</formula>
    </cfRule>
  </conditionalFormatting>
  <conditionalFormatting sqref="P30">
    <cfRule type="cellIs" dxfId="1330" priority="1702" stopIfTrue="1" operator="equal">
      <formula>#REF!</formula>
    </cfRule>
  </conditionalFormatting>
  <conditionalFormatting sqref="P30">
    <cfRule type="cellIs" dxfId="1329" priority="1701" stopIfTrue="1" operator="equal">
      <formula>#REF!</formula>
    </cfRule>
  </conditionalFormatting>
  <conditionalFormatting sqref="P31">
    <cfRule type="cellIs" dxfId="1328" priority="1700" stopIfTrue="1" operator="equal">
      <formula>#REF!</formula>
    </cfRule>
  </conditionalFormatting>
  <conditionalFormatting sqref="P31">
    <cfRule type="cellIs" dxfId="1327" priority="1699" stopIfTrue="1" operator="equal">
      <formula>#REF!</formula>
    </cfRule>
  </conditionalFormatting>
  <conditionalFormatting sqref="P31">
    <cfRule type="cellIs" dxfId="1326" priority="1698" stopIfTrue="1" operator="equal">
      <formula>#REF!</formula>
    </cfRule>
  </conditionalFormatting>
  <conditionalFormatting sqref="P31">
    <cfRule type="cellIs" dxfId="1325" priority="1697" stopIfTrue="1" operator="equal">
      <formula>#REF!</formula>
    </cfRule>
  </conditionalFormatting>
  <conditionalFormatting sqref="P31">
    <cfRule type="cellIs" dxfId="1324" priority="1696" stopIfTrue="1" operator="equal">
      <formula>#REF!</formula>
    </cfRule>
  </conditionalFormatting>
  <conditionalFormatting sqref="P31">
    <cfRule type="cellIs" dxfId="1323" priority="1695" stopIfTrue="1" operator="equal">
      <formula>#REF!</formula>
    </cfRule>
  </conditionalFormatting>
  <dataValidations count="5">
    <dataValidation type="list" allowBlank="1" showInputMessage="1" showErrorMessage="1" sqref="I8:I31">
      <formula1>Etat</formula1>
    </dataValidation>
    <dataValidation type="list" allowBlank="1" showInputMessage="1" showErrorMessage="1" sqref="H8:H31">
      <formula1>"complexe,normale,simple"</formula1>
    </dataValidation>
    <dataValidation type="list" allowBlank="1" showInputMessage="1" showErrorMessage="1" sqref="D8:D16 D19:D31">
      <formula1>Priorité</formula1>
    </dataValidation>
    <dataValidation type="list" allowBlank="1" showInputMessage="1" showErrorMessage="1" sqref="M8:M31">
      <formula1>Conformité</formula1>
    </dataValidation>
    <dataValidation type="list" allowBlank="1" showInputMessage="1" showErrorMessage="1" sqref="G8:G31">
      <formula1>"1,2,3"</formula1>
    </dataValidation>
  </dataValidations>
  <printOptions horizontalCentered="1" verticalCentered="1"/>
  <pageMargins left="0" right="0" top="0.35433070866141736" bottom="0.39370078740157483" header="0.31496062992125984" footer="0.15748031496062992"/>
  <pageSetup paperSize="9" scale="55"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technique" enableFormatConditionsCalculation="0">
    <tabColor indexed="15"/>
    <pageSetUpPr fitToPage="1"/>
  </sheetPr>
  <dimension ref="A1:S59"/>
  <sheetViews>
    <sheetView showGridLines="0" zoomScale="110" zoomScaleNormal="110" workbookViewId="0">
      <selection activeCell="F17" sqref="F17"/>
    </sheetView>
  </sheetViews>
  <sheetFormatPr baseColWidth="10" defaultRowHeight="12.75" x14ac:dyDescent="0.2"/>
  <cols>
    <col min="1" max="1" width="4.85546875" style="160" customWidth="1"/>
    <col min="2" max="2" width="30.140625" style="211" customWidth="1"/>
    <col min="3" max="3" width="71.5703125" style="211" customWidth="1"/>
    <col min="4" max="6" width="10.7109375" style="211" customWidth="1"/>
    <col min="7" max="7" width="9.85546875" style="211" bestFit="1" customWidth="1"/>
    <col min="8" max="8" width="10.28515625" style="211" hidden="1" customWidth="1"/>
    <col min="9" max="9" width="10.7109375" style="212" customWidth="1"/>
    <col min="10" max="10" width="13.5703125" style="212" hidden="1" customWidth="1"/>
    <col min="11" max="11" width="12.140625" style="212" hidden="1" customWidth="1"/>
    <col min="12" max="12" width="15.28515625" style="212" hidden="1" customWidth="1"/>
    <col min="13" max="13" width="12.85546875" style="212" hidden="1" customWidth="1"/>
    <col min="14" max="14" width="15.28515625" style="212" hidden="1" customWidth="1"/>
    <col min="15" max="15" width="10.7109375" style="212" hidden="1" customWidth="1"/>
    <col min="16" max="16" width="21.7109375" style="211" customWidth="1"/>
    <col min="17" max="17" width="60.7109375" style="211" customWidth="1"/>
    <col min="18" max="18" width="11.42578125" style="163"/>
    <col min="19" max="19" width="9.42578125" style="163" bestFit="1" customWidth="1"/>
    <col min="20" max="20" width="12" style="163" bestFit="1" customWidth="1"/>
    <col min="21" max="21" width="7" style="163" customWidth="1"/>
    <col min="22" max="22" width="9" style="163" bestFit="1" customWidth="1"/>
    <col min="23" max="16384" width="11.42578125" style="163"/>
  </cols>
  <sheetData>
    <row r="1" spans="1:19" x14ac:dyDescent="0.2">
      <c r="B1" s="236" t="s">
        <v>8</v>
      </c>
      <c r="C1" s="249" t="s">
        <v>158</v>
      </c>
      <c r="D1" s="249"/>
      <c r="E1" s="249"/>
      <c r="F1" s="249"/>
      <c r="G1" s="249"/>
      <c r="H1" s="249"/>
      <c r="I1" s="249"/>
      <c r="J1" s="249"/>
      <c r="K1" s="249"/>
      <c r="L1" s="249"/>
      <c r="M1" s="249"/>
      <c r="N1" s="249"/>
      <c r="O1" s="249"/>
      <c r="P1" s="249"/>
      <c r="Q1" s="249"/>
      <c r="R1" s="249"/>
      <c r="S1" s="249"/>
    </row>
    <row r="2" spans="1:19" ht="12.75" customHeight="1" x14ac:dyDescent="0.2">
      <c r="B2" s="250" t="s">
        <v>195</v>
      </c>
      <c r="C2" s="250"/>
      <c r="D2" s="250"/>
      <c r="E2" s="250"/>
      <c r="F2" s="250"/>
      <c r="G2" s="250"/>
      <c r="H2" s="212"/>
      <c r="P2" s="212"/>
      <c r="Q2" s="212"/>
    </row>
    <row r="3" spans="1:19" x14ac:dyDescent="0.2">
      <c r="B3" s="247" t="s">
        <v>41</v>
      </c>
      <c r="C3" s="247"/>
      <c r="D3" s="247"/>
      <c r="E3" s="247"/>
      <c r="F3" s="247"/>
      <c r="G3" s="247"/>
      <c r="H3" s="247"/>
      <c r="I3" s="247"/>
      <c r="J3" s="247"/>
      <c r="K3" s="247"/>
      <c r="L3" s="247"/>
      <c r="M3" s="228"/>
      <c r="N3" s="228"/>
      <c r="O3" s="228"/>
      <c r="P3" s="165"/>
      <c r="Q3" s="165"/>
    </row>
    <row r="4" spans="1:19" ht="13.5" thickBot="1" x14ac:dyDescent="0.25">
      <c r="B4" s="167"/>
      <c r="C4" s="167"/>
      <c r="D4" s="167"/>
      <c r="E4" s="167"/>
      <c r="F4" s="167"/>
      <c r="G4" s="167"/>
      <c r="H4" s="167"/>
      <c r="I4" s="167"/>
      <c r="J4" s="167"/>
      <c r="K4" s="167"/>
      <c r="L4" s="167"/>
      <c r="M4" s="167"/>
      <c r="N4" s="167"/>
      <c r="O4" s="167"/>
      <c r="P4" s="167"/>
      <c r="Q4" s="167"/>
    </row>
    <row r="5" spans="1:19" s="174" customFormat="1" ht="10.5" x14ac:dyDescent="0.2">
      <c r="A5" s="168"/>
      <c r="B5" s="169" t="s">
        <v>94</v>
      </c>
      <c r="C5" s="170" t="s">
        <v>95</v>
      </c>
      <c r="D5" s="170" t="s">
        <v>96</v>
      </c>
      <c r="E5" s="170"/>
      <c r="F5" s="170"/>
      <c r="G5" s="170"/>
      <c r="H5" s="170"/>
      <c r="I5" s="170"/>
      <c r="J5" s="171"/>
      <c r="K5" s="171"/>
      <c r="L5" s="171"/>
      <c r="M5" s="171"/>
      <c r="N5" s="171"/>
      <c r="O5" s="172"/>
      <c r="P5" s="172"/>
      <c r="Q5" s="173"/>
    </row>
    <row r="6" spans="1:19" s="174" customFormat="1" ht="11.25" thickBot="1" x14ac:dyDescent="0.25">
      <c r="A6" s="168"/>
      <c r="B6" s="217">
        <f>COUNTA(B8:B1020)</f>
        <v>7</v>
      </c>
      <c r="C6" s="218">
        <f>SUBTOTAL(3,B8:B1020)</f>
        <v>7</v>
      </c>
      <c r="D6" s="219">
        <f>IF(C6=0,0,C6/B6)</f>
        <v>1</v>
      </c>
      <c r="E6" s="219"/>
      <c r="F6" s="219"/>
      <c r="G6" s="218"/>
      <c r="H6" s="218"/>
      <c r="I6" s="218"/>
      <c r="J6" s="220"/>
      <c r="K6" s="220"/>
      <c r="L6" s="220"/>
      <c r="M6" s="221"/>
      <c r="N6" s="221"/>
      <c r="P6" s="222"/>
      <c r="Q6" s="223"/>
    </row>
    <row r="7" spans="1:19" ht="42.75" customHeight="1" thickBot="1" x14ac:dyDescent="0.25">
      <c r="B7" s="224" t="s">
        <v>14</v>
      </c>
      <c r="C7" s="183" t="s">
        <v>13</v>
      </c>
      <c r="D7" s="183" t="s">
        <v>126</v>
      </c>
      <c r="E7" s="183" t="s">
        <v>110</v>
      </c>
      <c r="F7" s="183" t="s">
        <v>101</v>
      </c>
      <c r="G7" s="183" t="s">
        <v>128</v>
      </c>
      <c r="H7" s="183" t="s">
        <v>127</v>
      </c>
      <c r="I7" s="183" t="s">
        <v>108</v>
      </c>
      <c r="J7" s="183" t="s">
        <v>15</v>
      </c>
      <c r="K7" s="183" t="s">
        <v>30</v>
      </c>
      <c r="L7" s="183" t="s">
        <v>120</v>
      </c>
      <c r="M7" s="183" t="s">
        <v>74</v>
      </c>
      <c r="N7" s="183" t="s">
        <v>75</v>
      </c>
      <c r="O7" s="183" t="s">
        <v>130</v>
      </c>
      <c r="P7" s="183" t="s">
        <v>66</v>
      </c>
      <c r="Q7" s="225" t="s">
        <v>129</v>
      </c>
    </row>
    <row r="8" spans="1:19" ht="13.5" thickBot="1" x14ac:dyDescent="0.25">
      <c r="A8" s="160">
        <v>1</v>
      </c>
      <c r="B8" s="237" t="s">
        <v>200</v>
      </c>
      <c r="C8" s="207" t="s">
        <v>250</v>
      </c>
      <c r="D8" s="195"/>
      <c r="E8" s="195"/>
      <c r="F8" s="195" t="s">
        <v>151</v>
      </c>
      <c r="G8" s="195">
        <v>1</v>
      </c>
      <c r="H8" s="195"/>
      <c r="I8" s="192"/>
      <c r="J8" s="195"/>
      <c r="K8" s="195"/>
      <c r="L8" s="207"/>
      <c r="M8" s="192"/>
      <c r="N8" s="207"/>
      <c r="O8" s="195"/>
      <c r="P8" s="192"/>
      <c r="Q8" s="197"/>
    </row>
    <row r="9" spans="1:19" ht="13.5" thickBot="1" x14ac:dyDescent="0.25">
      <c r="B9" s="237" t="s">
        <v>202</v>
      </c>
      <c r="C9" s="207" t="s">
        <v>251</v>
      </c>
      <c r="D9" s="195"/>
      <c r="E9" s="195"/>
      <c r="F9" s="195" t="s">
        <v>151</v>
      </c>
      <c r="G9" s="195">
        <v>2</v>
      </c>
      <c r="H9" s="195"/>
      <c r="I9" s="192"/>
      <c r="J9" s="195"/>
      <c r="K9" s="195"/>
      <c r="L9" s="207"/>
      <c r="M9" s="192"/>
      <c r="N9" s="207"/>
      <c r="O9" s="195"/>
      <c r="P9" s="192"/>
      <c r="Q9" s="197"/>
    </row>
    <row r="10" spans="1:19" ht="39" thickBot="1" x14ac:dyDescent="0.25">
      <c r="A10" s="160">
        <f>A8+1</f>
        <v>2</v>
      </c>
      <c r="B10" s="237" t="s">
        <v>205</v>
      </c>
      <c r="C10" s="207" t="s">
        <v>197</v>
      </c>
      <c r="D10" s="195"/>
      <c r="E10" s="195"/>
      <c r="F10" s="195" t="s">
        <v>151</v>
      </c>
      <c r="G10" s="195">
        <v>1</v>
      </c>
      <c r="H10" s="195"/>
      <c r="I10" s="192"/>
      <c r="J10" s="195"/>
      <c r="K10" s="195"/>
      <c r="L10" s="207"/>
      <c r="M10" s="192"/>
      <c r="N10" s="207"/>
      <c r="O10" s="195"/>
      <c r="P10" s="192"/>
      <c r="Q10" s="197"/>
    </row>
    <row r="11" spans="1:19" ht="38.25" x14ac:dyDescent="0.2">
      <c r="A11" s="160">
        <f t="shared" ref="A11:A58" si="0">A10+1</f>
        <v>3</v>
      </c>
      <c r="B11" s="237" t="s">
        <v>252</v>
      </c>
      <c r="C11" s="207" t="s">
        <v>253</v>
      </c>
      <c r="D11" s="195"/>
      <c r="E11" s="195"/>
      <c r="F11" s="195" t="s">
        <v>151</v>
      </c>
      <c r="G11" s="195">
        <v>1</v>
      </c>
      <c r="H11" s="195"/>
      <c r="I11" s="192"/>
      <c r="J11" s="195"/>
      <c r="K11" s="195"/>
      <c r="L11" s="207"/>
      <c r="M11" s="192"/>
      <c r="N11" s="207"/>
      <c r="O11" s="195"/>
      <c r="P11" s="192"/>
      <c r="Q11" s="197"/>
    </row>
    <row r="12" spans="1:19" ht="26.25" thickBot="1" x14ac:dyDescent="0.25">
      <c r="A12" s="160">
        <f t="shared" si="0"/>
        <v>4</v>
      </c>
      <c r="B12" s="238" t="s">
        <v>201</v>
      </c>
      <c r="C12" s="207" t="s">
        <v>196</v>
      </c>
      <c r="D12" s="195"/>
      <c r="E12" s="195"/>
      <c r="F12" s="195" t="s">
        <v>151</v>
      </c>
      <c r="G12" s="195">
        <v>1</v>
      </c>
      <c r="H12" s="195"/>
      <c r="I12" s="192"/>
      <c r="J12" s="195"/>
      <c r="K12" s="195"/>
      <c r="L12" s="207"/>
      <c r="M12" s="192"/>
      <c r="N12" s="207"/>
      <c r="O12" s="195"/>
      <c r="P12" s="192"/>
      <c r="Q12" s="197"/>
    </row>
    <row r="13" spans="1:19" ht="26.25" thickBot="1" x14ac:dyDescent="0.25">
      <c r="A13" s="160">
        <v>5</v>
      </c>
      <c r="B13" s="237" t="s">
        <v>203</v>
      </c>
      <c r="C13" s="207" t="s">
        <v>198</v>
      </c>
      <c r="D13" s="195"/>
      <c r="E13" s="195"/>
      <c r="F13" s="195" t="s">
        <v>151</v>
      </c>
      <c r="G13" s="195">
        <v>1</v>
      </c>
      <c r="H13" s="195"/>
      <c r="I13" s="192"/>
      <c r="J13" s="195"/>
      <c r="K13" s="195"/>
      <c r="L13" s="207"/>
      <c r="M13" s="192"/>
      <c r="N13" s="207"/>
      <c r="O13" s="195"/>
      <c r="P13" s="192"/>
      <c r="Q13" s="197"/>
    </row>
    <row r="14" spans="1:19" ht="38.25" x14ac:dyDescent="0.2">
      <c r="A14" s="160">
        <v>6</v>
      </c>
      <c r="B14" s="237" t="s">
        <v>204</v>
      </c>
      <c r="C14" s="207" t="s">
        <v>199</v>
      </c>
      <c r="D14" s="195"/>
      <c r="E14" s="195"/>
      <c r="F14" s="195" t="s">
        <v>151</v>
      </c>
      <c r="G14" s="195">
        <v>3</v>
      </c>
      <c r="H14" s="195"/>
      <c r="I14" s="192"/>
      <c r="J14" s="195"/>
      <c r="K14" s="195"/>
      <c r="L14" s="207"/>
      <c r="M14" s="192"/>
      <c r="N14" s="207"/>
      <c r="O14" s="195"/>
      <c r="P14" s="192"/>
      <c r="Q14" s="197"/>
    </row>
    <row r="15" spans="1:19" x14ac:dyDescent="0.2">
      <c r="A15" s="160">
        <f t="shared" ref="A15:A59" si="1">A14+1</f>
        <v>7</v>
      </c>
      <c r="B15" s="238"/>
      <c r="C15" s="207"/>
      <c r="D15" s="195"/>
      <c r="E15" s="195"/>
      <c r="F15" s="195"/>
      <c r="G15" s="195"/>
      <c r="H15" s="195"/>
      <c r="I15" s="192"/>
      <c r="J15" s="195"/>
      <c r="K15" s="195"/>
      <c r="L15" s="207"/>
      <c r="M15" s="192"/>
      <c r="N15" s="207"/>
      <c r="O15" s="195"/>
      <c r="P15" s="192"/>
      <c r="Q15" s="197"/>
    </row>
    <row r="16" spans="1:19" x14ac:dyDescent="0.2">
      <c r="A16" s="160">
        <f t="shared" si="0"/>
        <v>8</v>
      </c>
      <c r="B16" s="238"/>
      <c r="C16" s="207"/>
      <c r="D16" s="195"/>
      <c r="E16" s="195"/>
      <c r="F16" s="195"/>
      <c r="G16" s="195"/>
      <c r="H16" s="195"/>
      <c r="I16" s="192"/>
      <c r="J16" s="195"/>
      <c r="K16" s="195"/>
      <c r="L16" s="207"/>
      <c r="M16" s="192"/>
      <c r="N16" s="207"/>
      <c r="O16" s="195"/>
      <c r="P16" s="192"/>
      <c r="Q16" s="197"/>
    </row>
    <row r="17" spans="1:17" x14ac:dyDescent="0.2">
      <c r="A17" s="160">
        <f t="shared" si="0"/>
        <v>9</v>
      </c>
      <c r="B17" s="238"/>
      <c r="C17" s="207"/>
      <c r="D17" s="195"/>
      <c r="E17" s="195"/>
      <c r="F17" s="195"/>
      <c r="G17" s="195"/>
      <c r="H17" s="195"/>
      <c r="I17" s="192"/>
      <c r="J17" s="195"/>
      <c r="K17" s="195"/>
      <c r="L17" s="207"/>
      <c r="M17" s="192"/>
      <c r="N17" s="207"/>
      <c r="O17" s="195"/>
      <c r="P17" s="192"/>
      <c r="Q17" s="197"/>
    </row>
    <row r="18" spans="1:17" x14ac:dyDescent="0.2">
      <c r="A18" s="160">
        <f t="shared" si="0"/>
        <v>10</v>
      </c>
      <c r="B18" s="238"/>
      <c r="C18" s="207"/>
      <c r="D18" s="195"/>
      <c r="E18" s="195"/>
      <c r="F18" s="195"/>
      <c r="G18" s="195"/>
      <c r="H18" s="195"/>
      <c r="I18" s="192"/>
      <c r="J18" s="195"/>
      <c r="K18" s="195"/>
      <c r="L18" s="207"/>
      <c r="M18" s="192"/>
      <c r="N18" s="207"/>
      <c r="O18" s="195"/>
      <c r="P18" s="192"/>
      <c r="Q18" s="197"/>
    </row>
    <row r="19" spans="1:17" x14ac:dyDescent="0.2">
      <c r="A19" s="160">
        <f t="shared" si="1"/>
        <v>11</v>
      </c>
      <c r="B19" s="238"/>
      <c r="C19" s="207"/>
      <c r="D19" s="195"/>
      <c r="E19" s="195"/>
      <c r="F19" s="195"/>
      <c r="G19" s="195"/>
      <c r="H19" s="195"/>
      <c r="I19" s="192"/>
      <c r="J19" s="195"/>
      <c r="K19" s="195"/>
      <c r="L19" s="207"/>
      <c r="M19" s="192"/>
      <c r="N19" s="207"/>
      <c r="O19" s="195"/>
      <c r="P19" s="192"/>
      <c r="Q19" s="197"/>
    </row>
    <row r="20" spans="1:17" x14ac:dyDescent="0.2">
      <c r="A20" s="160">
        <f t="shared" si="0"/>
        <v>12</v>
      </c>
      <c r="B20" s="238"/>
      <c r="C20" s="207"/>
      <c r="D20" s="195"/>
      <c r="E20" s="195"/>
      <c r="F20" s="195"/>
      <c r="G20" s="195"/>
      <c r="H20" s="195"/>
      <c r="I20" s="192"/>
      <c r="J20" s="195"/>
      <c r="K20" s="195"/>
      <c r="L20" s="207"/>
      <c r="M20" s="192"/>
      <c r="N20" s="207"/>
      <c r="O20" s="195"/>
      <c r="P20" s="192"/>
      <c r="Q20" s="197"/>
    </row>
    <row r="21" spans="1:17" x14ac:dyDescent="0.2">
      <c r="A21" s="160">
        <f t="shared" si="0"/>
        <v>13</v>
      </c>
      <c r="B21" s="238"/>
      <c r="C21" s="207"/>
      <c r="D21" s="195"/>
      <c r="E21" s="195"/>
      <c r="F21" s="195"/>
      <c r="G21" s="195"/>
      <c r="H21" s="195"/>
      <c r="I21" s="192"/>
      <c r="J21" s="195"/>
      <c r="K21" s="195"/>
      <c r="L21" s="207"/>
      <c r="M21" s="192"/>
      <c r="N21" s="207"/>
      <c r="O21" s="195"/>
      <c r="P21" s="192"/>
      <c r="Q21" s="197"/>
    </row>
    <row r="22" spans="1:17" x14ac:dyDescent="0.2">
      <c r="A22" s="160">
        <f t="shared" si="0"/>
        <v>14</v>
      </c>
      <c r="B22" s="238"/>
      <c r="C22" s="207"/>
      <c r="D22" s="195"/>
      <c r="E22" s="195"/>
      <c r="F22" s="195"/>
      <c r="G22" s="195"/>
      <c r="H22" s="195"/>
      <c r="I22" s="192"/>
      <c r="J22" s="195"/>
      <c r="K22" s="195"/>
      <c r="L22" s="207"/>
      <c r="M22" s="192"/>
      <c r="N22" s="207"/>
      <c r="O22" s="195"/>
      <c r="P22" s="195"/>
      <c r="Q22" s="197"/>
    </row>
    <row r="23" spans="1:17" x14ac:dyDescent="0.2">
      <c r="A23" s="160">
        <f t="shared" si="1"/>
        <v>15</v>
      </c>
      <c r="B23" s="238"/>
      <c r="C23" s="207"/>
      <c r="D23" s="195"/>
      <c r="E23" s="195"/>
      <c r="F23" s="195"/>
      <c r="G23" s="195"/>
      <c r="H23" s="195"/>
      <c r="I23" s="192"/>
      <c r="J23" s="195"/>
      <c r="K23" s="195"/>
      <c r="L23" s="207"/>
      <c r="M23" s="192"/>
      <c r="N23" s="207"/>
      <c r="O23" s="195"/>
      <c r="P23" s="195"/>
      <c r="Q23" s="197"/>
    </row>
    <row r="24" spans="1:17" x14ac:dyDescent="0.2">
      <c r="A24" s="160">
        <f t="shared" si="0"/>
        <v>16</v>
      </c>
      <c r="B24" s="238"/>
      <c r="C24" s="207"/>
      <c r="D24" s="195"/>
      <c r="E24" s="195"/>
      <c r="F24" s="195"/>
      <c r="G24" s="195"/>
      <c r="H24" s="195"/>
      <c r="I24" s="192"/>
      <c r="J24" s="195"/>
      <c r="K24" s="195"/>
      <c r="L24" s="207"/>
      <c r="M24" s="192"/>
      <c r="N24" s="207"/>
      <c r="O24" s="195"/>
      <c r="P24" s="192"/>
      <c r="Q24" s="197"/>
    </row>
    <row r="25" spans="1:17" x14ac:dyDescent="0.2">
      <c r="A25" s="160">
        <f t="shared" si="0"/>
        <v>17</v>
      </c>
      <c r="B25" s="238"/>
      <c r="C25" s="207"/>
      <c r="D25" s="195"/>
      <c r="E25" s="195"/>
      <c r="F25" s="195"/>
      <c r="G25" s="195"/>
      <c r="H25" s="195"/>
      <c r="I25" s="192"/>
      <c r="J25" s="195"/>
      <c r="K25" s="195"/>
      <c r="L25" s="207"/>
      <c r="M25" s="192"/>
      <c r="N25" s="207"/>
      <c r="O25" s="195"/>
      <c r="P25" s="192"/>
      <c r="Q25" s="235"/>
    </row>
    <row r="26" spans="1:17" x14ac:dyDescent="0.2">
      <c r="A26" s="160">
        <f t="shared" si="0"/>
        <v>18</v>
      </c>
      <c r="B26" s="238"/>
      <c r="C26" s="207"/>
      <c r="D26" s="195"/>
      <c r="E26" s="195"/>
      <c r="F26" s="195"/>
      <c r="G26" s="195"/>
      <c r="H26" s="195"/>
      <c r="I26" s="192"/>
      <c r="J26" s="195"/>
      <c r="K26" s="195"/>
      <c r="L26" s="207"/>
      <c r="M26" s="192"/>
      <c r="N26" s="207"/>
      <c r="O26" s="195"/>
      <c r="P26" s="192"/>
      <c r="Q26" s="197"/>
    </row>
    <row r="27" spans="1:17" x14ac:dyDescent="0.2">
      <c r="A27" s="160">
        <f t="shared" si="1"/>
        <v>19</v>
      </c>
      <c r="B27" s="238"/>
      <c r="C27" s="207"/>
      <c r="D27" s="195"/>
      <c r="E27" s="195"/>
      <c r="F27" s="195"/>
      <c r="G27" s="195"/>
      <c r="H27" s="195"/>
      <c r="I27" s="192"/>
      <c r="J27" s="195"/>
      <c r="K27" s="195"/>
      <c r="L27" s="207"/>
      <c r="M27" s="192"/>
      <c r="N27" s="207"/>
      <c r="O27" s="195"/>
      <c r="P27" s="192"/>
      <c r="Q27" s="197"/>
    </row>
    <row r="28" spans="1:17" x14ac:dyDescent="0.2">
      <c r="A28" s="160">
        <f t="shared" si="0"/>
        <v>20</v>
      </c>
      <c r="B28" s="238"/>
      <c r="C28" s="239"/>
      <c r="D28" s="240"/>
      <c r="E28" s="240"/>
      <c r="F28" s="195"/>
      <c r="G28" s="240"/>
      <c r="H28" s="240"/>
      <c r="I28" s="234"/>
      <c r="J28" s="240"/>
      <c r="K28" s="240"/>
      <c r="L28" s="239"/>
      <c r="M28" s="234"/>
      <c r="N28" s="239"/>
      <c r="O28" s="240"/>
      <c r="P28" s="234"/>
      <c r="Q28" s="235"/>
    </row>
    <row r="29" spans="1:17" x14ac:dyDescent="0.2">
      <c r="A29" s="160">
        <f t="shared" si="0"/>
        <v>21</v>
      </c>
      <c r="B29" s="238"/>
      <c r="C29" s="239"/>
      <c r="D29" s="240"/>
      <c r="E29" s="240"/>
      <c r="F29" s="195"/>
      <c r="G29" s="240"/>
      <c r="H29" s="240"/>
      <c r="I29" s="234"/>
      <c r="J29" s="240"/>
      <c r="K29" s="240"/>
      <c r="L29" s="239"/>
      <c r="M29" s="234"/>
      <c r="N29" s="239"/>
      <c r="O29" s="240"/>
      <c r="P29" s="234"/>
      <c r="Q29" s="235"/>
    </row>
    <row r="30" spans="1:17" x14ac:dyDescent="0.2">
      <c r="A30" s="160">
        <f t="shared" si="0"/>
        <v>22</v>
      </c>
      <c r="B30" s="238"/>
      <c r="C30" s="207"/>
      <c r="D30" s="195"/>
      <c r="E30" s="195"/>
      <c r="F30" s="195"/>
      <c r="G30" s="195"/>
      <c r="H30" s="195"/>
      <c r="I30" s="192"/>
      <c r="J30" s="195"/>
      <c r="K30" s="195"/>
      <c r="L30" s="207"/>
      <c r="M30" s="192"/>
      <c r="N30" s="207"/>
      <c r="O30" s="195"/>
      <c r="P30" s="192"/>
      <c r="Q30" s="197"/>
    </row>
    <row r="31" spans="1:17" x14ac:dyDescent="0.2">
      <c r="A31" s="160">
        <f t="shared" si="1"/>
        <v>23</v>
      </c>
      <c r="B31" s="238"/>
      <c r="C31" s="207"/>
      <c r="D31" s="195"/>
      <c r="E31" s="195"/>
      <c r="F31" s="195"/>
      <c r="G31" s="195"/>
      <c r="H31" s="195"/>
      <c r="I31" s="192"/>
      <c r="J31" s="195"/>
      <c r="K31" s="195"/>
      <c r="L31" s="207"/>
      <c r="M31" s="192"/>
      <c r="N31" s="207"/>
      <c r="O31" s="195"/>
      <c r="P31" s="192"/>
      <c r="Q31" s="197"/>
    </row>
    <row r="32" spans="1:17" x14ac:dyDescent="0.2">
      <c r="A32" s="160">
        <f t="shared" si="0"/>
        <v>24</v>
      </c>
      <c r="B32" s="238"/>
      <c r="C32" s="207"/>
      <c r="D32" s="195"/>
      <c r="E32" s="195"/>
      <c r="F32" s="195"/>
      <c r="G32" s="195"/>
      <c r="H32" s="195"/>
      <c r="I32" s="192"/>
      <c r="J32" s="195"/>
      <c r="K32" s="195"/>
      <c r="L32" s="207"/>
      <c r="M32" s="192"/>
      <c r="N32" s="207"/>
      <c r="O32" s="195"/>
      <c r="P32" s="192"/>
      <c r="Q32" s="197"/>
    </row>
    <row r="33" spans="1:17" x14ac:dyDescent="0.2">
      <c r="A33" s="160">
        <f t="shared" si="0"/>
        <v>25</v>
      </c>
      <c r="B33" s="238"/>
      <c r="C33" s="239"/>
      <c r="D33" s="240"/>
      <c r="E33" s="240"/>
      <c r="F33" s="195"/>
      <c r="G33" s="240"/>
      <c r="H33" s="240"/>
      <c r="I33" s="234"/>
      <c r="J33" s="240"/>
      <c r="K33" s="240"/>
      <c r="L33" s="239"/>
      <c r="M33" s="234"/>
      <c r="N33" s="239"/>
      <c r="O33" s="240"/>
      <c r="P33" s="234"/>
      <c r="Q33" s="235"/>
    </row>
    <row r="34" spans="1:17" x14ac:dyDescent="0.2">
      <c r="A34" s="160">
        <f t="shared" si="0"/>
        <v>26</v>
      </c>
      <c r="B34" s="238"/>
      <c r="C34" s="207"/>
      <c r="D34" s="195"/>
      <c r="E34" s="195"/>
      <c r="F34" s="195"/>
      <c r="G34" s="195"/>
      <c r="H34" s="195"/>
      <c r="I34" s="192"/>
      <c r="J34" s="195"/>
      <c r="K34" s="195"/>
      <c r="L34" s="207"/>
      <c r="M34" s="192"/>
      <c r="N34" s="207"/>
      <c r="O34" s="195"/>
      <c r="P34" s="192"/>
      <c r="Q34" s="197"/>
    </row>
    <row r="35" spans="1:17" x14ac:dyDescent="0.2">
      <c r="A35" s="160">
        <f t="shared" si="1"/>
        <v>27</v>
      </c>
      <c r="B35" s="238"/>
      <c r="C35" s="239"/>
      <c r="D35" s="240"/>
      <c r="E35" s="240"/>
      <c r="F35" s="195"/>
      <c r="G35" s="240"/>
      <c r="H35" s="240"/>
      <c r="I35" s="234"/>
      <c r="J35" s="240"/>
      <c r="K35" s="240"/>
      <c r="L35" s="239"/>
      <c r="M35" s="234"/>
      <c r="N35" s="239"/>
      <c r="O35" s="240"/>
      <c r="P35" s="234"/>
      <c r="Q35" s="235"/>
    </row>
    <row r="36" spans="1:17" x14ac:dyDescent="0.2">
      <c r="A36" s="160">
        <f t="shared" si="0"/>
        <v>28</v>
      </c>
      <c r="B36" s="238"/>
      <c r="C36" s="207"/>
      <c r="D36" s="195"/>
      <c r="E36" s="195"/>
      <c r="F36" s="195"/>
      <c r="G36" s="195"/>
      <c r="H36" s="195"/>
      <c r="I36" s="192"/>
      <c r="J36" s="195"/>
      <c r="K36" s="195"/>
      <c r="L36" s="207"/>
      <c r="M36" s="192"/>
      <c r="N36" s="207"/>
      <c r="O36" s="195"/>
      <c r="P36" s="192"/>
      <c r="Q36" s="197"/>
    </row>
    <row r="37" spans="1:17" x14ac:dyDescent="0.2">
      <c r="A37" s="160">
        <f t="shared" si="0"/>
        <v>29</v>
      </c>
      <c r="B37" s="238"/>
      <c r="C37" s="207"/>
      <c r="D37" s="195"/>
      <c r="E37" s="195"/>
      <c r="F37" s="195"/>
      <c r="G37" s="195"/>
      <c r="H37" s="195"/>
      <c r="I37" s="192"/>
      <c r="J37" s="195"/>
      <c r="K37" s="195"/>
      <c r="L37" s="207"/>
      <c r="M37" s="192"/>
      <c r="N37" s="207"/>
      <c r="O37" s="195"/>
      <c r="P37" s="192"/>
      <c r="Q37" s="197"/>
    </row>
    <row r="38" spans="1:17" x14ac:dyDescent="0.2">
      <c r="A38" s="160">
        <f t="shared" si="0"/>
        <v>30</v>
      </c>
      <c r="B38" s="238"/>
      <c r="C38" s="207"/>
      <c r="D38" s="195"/>
      <c r="E38" s="195"/>
      <c r="F38" s="195"/>
      <c r="G38" s="195"/>
      <c r="H38" s="195"/>
      <c r="I38" s="192"/>
      <c r="J38" s="195"/>
      <c r="K38" s="195"/>
      <c r="L38" s="207"/>
      <c r="M38" s="192"/>
      <c r="N38" s="207"/>
      <c r="O38" s="195"/>
      <c r="P38" s="192"/>
      <c r="Q38" s="197"/>
    </row>
    <row r="39" spans="1:17" x14ac:dyDescent="0.2">
      <c r="A39" s="160">
        <f t="shared" si="1"/>
        <v>31</v>
      </c>
      <c r="B39" s="238"/>
      <c r="C39" s="207"/>
      <c r="D39" s="195"/>
      <c r="E39" s="195"/>
      <c r="F39" s="195"/>
      <c r="G39" s="195"/>
      <c r="H39" s="195"/>
      <c r="I39" s="192"/>
      <c r="J39" s="195"/>
      <c r="K39" s="195"/>
      <c r="L39" s="207"/>
      <c r="M39" s="192"/>
      <c r="N39" s="207"/>
      <c r="O39" s="195"/>
      <c r="P39" s="192"/>
      <c r="Q39" s="197"/>
    </row>
    <row r="40" spans="1:17" x14ac:dyDescent="0.2">
      <c r="A40" s="160">
        <f t="shared" si="0"/>
        <v>32</v>
      </c>
      <c r="B40" s="238"/>
      <c r="C40" s="207"/>
      <c r="D40" s="195"/>
      <c r="E40" s="195"/>
      <c r="F40" s="195"/>
      <c r="G40" s="195"/>
      <c r="H40" s="195"/>
      <c r="I40" s="192"/>
      <c r="J40" s="195"/>
      <c r="K40" s="195"/>
      <c r="L40" s="207"/>
      <c r="M40" s="192"/>
      <c r="N40" s="207"/>
      <c r="O40" s="195"/>
      <c r="P40" s="192"/>
      <c r="Q40" s="197"/>
    </row>
    <row r="41" spans="1:17" x14ac:dyDescent="0.2">
      <c r="A41" s="160">
        <f t="shared" si="0"/>
        <v>33</v>
      </c>
      <c r="B41" s="238"/>
      <c r="C41" s="207"/>
      <c r="D41" s="195"/>
      <c r="E41" s="195"/>
      <c r="F41" s="195"/>
      <c r="G41" s="195"/>
      <c r="H41" s="195"/>
      <c r="I41" s="192"/>
      <c r="J41" s="195"/>
      <c r="K41" s="195"/>
      <c r="L41" s="207"/>
      <c r="M41" s="192"/>
      <c r="N41" s="207"/>
      <c r="O41" s="195"/>
      <c r="P41" s="192"/>
      <c r="Q41" s="197"/>
    </row>
    <row r="42" spans="1:17" x14ac:dyDescent="0.2">
      <c r="A42" s="160">
        <f t="shared" si="0"/>
        <v>34</v>
      </c>
      <c r="B42" s="238"/>
      <c r="C42" s="207"/>
      <c r="D42" s="195"/>
      <c r="E42" s="195"/>
      <c r="F42" s="195"/>
      <c r="G42" s="195"/>
      <c r="H42" s="195"/>
      <c r="I42" s="192"/>
      <c r="J42" s="195"/>
      <c r="K42" s="195"/>
      <c r="L42" s="207"/>
      <c r="M42" s="192"/>
      <c r="N42" s="207"/>
      <c r="O42" s="195"/>
      <c r="P42" s="192"/>
      <c r="Q42" s="197"/>
    </row>
    <row r="43" spans="1:17" x14ac:dyDescent="0.2">
      <c r="A43" s="160">
        <f t="shared" si="1"/>
        <v>35</v>
      </c>
      <c r="B43" s="238"/>
      <c r="C43" s="207"/>
      <c r="D43" s="195"/>
      <c r="E43" s="195"/>
      <c r="F43" s="195"/>
      <c r="G43" s="195"/>
      <c r="H43" s="195"/>
      <c r="I43" s="192"/>
      <c r="J43" s="195"/>
      <c r="K43" s="195"/>
      <c r="L43" s="207"/>
      <c r="M43" s="192"/>
      <c r="N43" s="207"/>
      <c r="O43" s="195"/>
      <c r="P43" s="192"/>
      <c r="Q43" s="197"/>
    </row>
    <row r="44" spans="1:17" x14ac:dyDescent="0.2">
      <c r="A44" s="160">
        <f t="shared" si="0"/>
        <v>36</v>
      </c>
      <c r="B44" s="238"/>
      <c r="C44" s="207"/>
      <c r="D44" s="195"/>
      <c r="E44" s="195"/>
      <c r="F44" s="195"/>
      <c r="G44" s="195"/>
      <c r="H44" s="195"/>
      <c r="I44" s="192"/>
      <c r="J44" s="195"/>
      <c r="K44" s="195"/>
      <c r="L44" s="207"/>
      <c r="M44" s="192"/>
      <c r="N44" s="207"/>
      <c r="O44" s="195"/>
      <c r="P44" s="192"/>
      <c r="Q44" s="197"/>
    </row>
    <row r="45" spans="1:17" x14ac:dyDescent="0.2">
      <c r="A45" s="160">
        <f t="shared" si="0"/>
        <v>37</v>
      </c>
      <c r="B45" s="238"/>
      <c r="C45" s="207"/>
      <c r="D45" s="195"/>
      <c r="E45" s="195"/>
      <c r="F45" s="195"/>
      <c r="G45" s="195"/>
      <c r="H45" s="195"/>
      <c r="I45" s="192"/>
      <c r="J45" s="195"/>
      <c r="K45" s="195"/>
      <c r="L45" s="207"/>
      <c r="M45" s="192"/>
      <c r="N45" s="207"/>
      <c r="O45" s="195"/>
      <c r="P45" s="192"/>
      <c r="Q45" s="197"/>
    </row>
    <row r="46" spans="1:17" x14ac:dyDescent="0.2">
      <c r="A46" s="160">
        <f t="shared" si="0"/>
        <v>38</v>
      </c>
      <c r="B46" s="238"/>
      <c r="C46" s="207"/>
      <c r="D46" s="195"/>
      <c r="E46" s="195"/>
      <c r="F46" s="195"/>
      <c r="G46" s="195"/>
      <c r="H46" s="195"/>
      <c r="I46" s="192"/>
      <c r="J46" s="195"/>
      <c r="K46" s="195"/>
      <c r="L46" s="207"/>
      <c r="M46" s="192"/>
      <c r="N46" s="207"/>
      <c r="O46" s="195"/>
      <c r="P46" s="192"/>
      <c r="Q46" s="197"/>
    </row>
    <row r="47" spans="1:17" x14ac:dyDescent="0.2">
      <c r="A47" s="160">
        <f t="shared" si="1"/>
        <v>39</v>
      </c>
      <c r="B47" s="238"/>
      <c r="C47" s="207"/>
      <c r="D47" s="195"/>
      <c r="E47" s="195"/>
      <c r="F47" s="195"/>
      <c r="G47" s="195"/>
      <c r="H47" s="195"/>
      <c r="I47" s="192"/>
      <c r="J47" s="195"/>
      <c r="K47" s="195"/>
      <c r="L47" s="207"/>
      <c r="M47" s="192"/>
      <c r="N47" s="207"/>
      <c r="O47" s="195"/>
      <c r="P47" s="192"/>
      <c r="Q47" s="197"/>
    </row>
    <row r="48" spans="1:17" x14ac:dyDescent="0.2">
      <c r="A48" s="160">
        <f t="shared" si="0"/>
        <v>40</v>
      </c>
      <c r="B48" s="238"/>
      <c r="C48" s="207"/>
      <c r="D48" s="195"/>
      <c r="E48" s="195"/>
      <c r="F48" s="195"/>
      <c r="G48" s="195"/>
      <c r="H48" s="195"/>
      <c r="I48" s="192"/>
      <c r="J48" s="195"/>
      <c r="K48" s="195"/>
      <c r="L48" s="207"/>
      <c r="M48" s="192"/>
      <c r="N48" s="207"/>
      <c r="O48" s="195"/>
      <c r="P48" s="192"/>
      <c r="Q48" s="197"/>
    </row>
    <row r="49" spans="1:17" x14ac:dyDescent="0.2">
      <c r="A49" s="160">
        <f t="shared" si="0"/>
        <v>41</v>
      </c>
      <c r="B49" s="238"/>
      <c r="C49" s="207"/>
      <c r="D49" s="195"/>
      <c r="E49" s="195"/>
      <c r="F49" s="195"/>
      <c r="G49" s="195"/>
      <c r="H49" s="195"/>
      <c r="I49" s="192"/>
      <c r="J49" s="195"/>
      <c r="K49" s="195"/>
      <c r="L49" s="207"/>
      <c r="M49" s="192"/>
      <c r="N49" s="207"/>
      <c r="O49" s="195"/>
      <c r="P49" s="192"/>
      <c r="Q49" s="197"/>
    </row>
    <row r="50" spans="1:17" x14ac:dyDescent="0.2">
      <c r="A50" s="160">
        <f t="shared" si="0"/>
        <v>42</v>
      </c>
      <c r="B50" s="238"/>
      <c r="C50" s="207"/>
      <c r="D50" s="195"/>
      <c r="E50" s="195"/>
      <c r="F50" s="195"/>
      <c r="G50" s="195"/>
      <c r="H50" s="195"/>
      <c r="I50" s="192"/>
      <c r="J50" s="195"/>
      <c r="K50" s="195"/>
      <c r="L50" s="207"/>
      <c r="M50" s="192"/>
      <c r="N50" s="207"/>
      <c r="O50" s="195"/>
      <c r="P50" s="192"/>
      <c r="Q50" s="197"/>
    </row>
    <row r="51" spans="1:17" x14ac:dyDescent="0.2">
      <c r="A51" s="160">
        <f t="shared" si="1"/>
        <v>43</v>
      </c>
      <c r="B51" s="238"/>
      <c r="C51" s="207"/>
      <c r="D51" s="195"/>
      <c r="E51" s="195"/>
      <c r="F51" s="195"/>
      <c r="G51" s="195"/>
      <c r="H51" s="195"/>
      <c r="I51" s="192"/>
      <c r="J51" s="195"/>
      <c r="K51" s="195"/>
      <c r="L51" s="207"/>
      <c r="M51" s="192"/>
      <c r="N51" s="207"/>
      <c r="O51" s="195"/>
      <c r="P51" s="192"/>
      <c r="Q51" s="197"/>
    </row>
    <row r="52" spans="1:17" x14ac:dyDescent="0.2">
      <c r="A52" s="160">
        <f t="shared" si="0"/>
        <v>44</v>
      </c>
      <c r="B52" s="238"/>
      <c r="C52" s="207"/>
      <c r="D52" s="195"/>
      <c r="E52" s="195"/>
      <c r="F52" s="195"/>
      <c r="G52" s="195"/>
      <c r="H52" s="195"/>
      <c r="I52" s="192"/>
      <c r="J52" s="195"/>
      <c r="K52" s="195"/>
      <c r="L52" s="207"/>
      <c r="M52" s="192"/>
      <c r="N52" s="207"/>
      <c r="O52" s="195"/>
      <c r="P52" s="192"/>
      <c r="Q52" s="197"/>
    </row>
    <row r="53" spans="1:17" x14ac:dyDescent="0.2">
      <c r="A53" s="160">
        <f t="shared" si="0"/>
        <v>45</v>
      </c>
      <c r="B53" s="238"/>
      <c r="C53" s="207"/>
      <c r="D53" s="195"/>
      <c r="E53" s="195"/>
      <c r="F53" s="195"/>
      <c r="G53" s="195"/>
      <c r="H53" s="195"/>
      <c r="I53" s="192"/>
      <c r="J53" s="195"/>
      <c r="K53" s="195"/>
      <c r="L53" s="207"/>
      <c r="M53" s="192"/>
      <c r="N53" s="207"/>
      <c r="O53" s="195"/>
      <c r="P53" s="192"/>
      <c r="Q53" s="197"/>
    </row>
    <row r="54" spans="1:17" x14ac:dyDescent="0.2">
      <c r="A54" s="160">
        <f t="shared" si="0"/>
        <v>46</v>
      </c>
      <c r="B54" s="238"/>
      <c r="C54" s="207"/>
      <c r="D54" s="195"/>
      <c r="E54" s="195"/>
      <c r="F54" s="195"/>
      <c r="G54" s="195"/>
      <c r="H54" s="195"/>
      <c r="I54" s="192"/>
      <c r="J54" s="195"/>
      <c r="K54" s="195"/>
      <c r="L54" s="207"/>
      <c r="M54" s="192"/>
      <c r="N54" s="207"/>
      <c r="O54" s="195"/>
      <c r="P54" s="192"/>
      <c r="Q54" s="197"/>
    </row>
    <row r="55" spans="1:17" x14ac:dyDescent="0.2">
      <c r="A55" s="160">
        <f t="shared" si="1"/>
        <v>47</v>
      </c>
      <c r="B55" s="238"/>
      <c r="C55" s="207"/>
      <c r="D55" s="195"/>
      <c r="E55" s="195"/>
      <c r="F55" s="195"/>
      <c r="G55" s="195"/>
      <c r="H55" s="195"/>
      <c r="I55" s="192"/>
      <c r="J55" s="195"/>
      <c r="K55" s="195"/>
      <c r="L55" s="207"/>
      <c r="M55" s="192"/>
      <c r="N55" s="207"/>
      <c r="O55" s="195"/>
      <c r="P55" s="192"/>
      <c r="Q55" s="197"/>
    </row>
    <row r="56" spans="1:17" x14ac:dyDescent="0.2">
      <c r="A56" s="160">
        <f t="shared" si="0"/>
        <v>48</v>
      </c>
      <c r="B56" s="238"/>
      <c r="C56" s="207"/>
      <c r="D56" s="195"/>
      <c r="E56" s="195"/>
      <c r="F56" s="195"/>
      <c r="G56" s="195"/>
      <c r="H56" s="195"/>
      <c r="I56" s="192"/>
      <c r="J56" s="195"/>
      <c r="K56" s="195"/>
      <c r="L56" s="207"/>
      <c r="M56" s="192"/>
      <c r="N56" s="207"/>
      <c r="O56" s="195"/>
      <c r="P56" s="192"/>
      <c r="Q56" s="197"/>
    </row>
    <row r="57" spans="1:17" x14ac:dyDescent="0.2">
      <c r="A57" s="160">
        <f t="shared" si="0"/>
        <v>49</v>
      </c>
      <c r="B57" s="238"/>
      <c r="C57" s="207"/>
      <c r="D57" s="195"/>
      <c r="E57" s="195"/>
      <c r="F57" s="195"/>
      <c r="G57" s="195"/>
      <c r="H57" s="195"/>
      <c r="I57" s="192"/>
      <c r="J57" s="195"/>
      <c r="K57" s="195"/>
      <c r="L57" s="207"/>
      <c r="M57" s="192"/>
      <c r="N57" s="207"/>
      <c r="O57" s="195"/>
      <c r="P57" s="192"/>
      <c r="Q57" s="197"/>
    </row>
    <row r="58" spans="1:17" x14ac:dyDescent="0.2">
      <c r="A58" s="160">
        <f t="shared" si="0"/>
        <v>50</v>
      </c>
      <c r="B58" s="238"/>
      <c r="C58" s="207"/>
      <c r="D58" s="195"/>
      <c r="E58" s="195"/>
      <c r="F58" s="195"/>
      <c r="G58" s="195"/>
      <c r="H58" s="195"/>
      <c r="I58" s="192"/>
      <c r="J58" s="195"/>
      <c r="K58" s="195"/>
      <c r="L58" s="207"/>
      <c r="M58" s="192"/>
      <c r="N58" s="207"/>
      <c r="O58" s="195"/>
      <c r="P58" s="192"/>
      <c r="Q58" s="197"/>
    </row>
    <row r="59" spans="1:17" x14ac:dyDescent="0.2">
      <c r="A59" s="160">
        <f t="shared" si="1"/>
        <v>51</v>
      </c>
      <c r="B59" s="238"/>
      <c r="C59" s="239"/>
      <c r="D59" s="240"/>
      <c r="E59" s="240"/>
      <c r="F59" s="195"/>
      <c r="G59" s="240"/>
      <c r="H59" s="240"/>
      <c r="I59" s="234"/>
      <c r="J59" s="240"/>
      <c r="K59" s="240"/>
      <c r="L59" s="239"/>
      <c r="M59" s="234"/>
      <c r="N59" s="239"/>
      <c r="O59" s="240"/>
      <c r="P59" s="234"/>
      <c r="Q59" s="235"/>
    </row>
  </sheetData>
  <autoFilter ref="A7:S59"/>
  <mergeCells count="3">
    <mergeCell ref="C1:S1"/>
    <mergeCell ref="B3:L3"/>
    <mergeCell ref="B2:G2"/>
  </mergeCells>
  <phoneticPr fontId="5" type="noConversion"/>
  <conditionalFormatting sqref="O8:O10 O19 O20:P29 O43:P59">
    <cfRule type="cellIs" dxfId="90" priority="125" stopIfTrue="1" operator="equal">
      <formula>#REF!</formula>
    </cfRule>
  </conditionalFormatting>
  <conditionalFormatting sqref="O11">
    <cfRule type="cellIs" dxfId="89" priority="120" stopIfTrue="1" operator="equal">
      <formula>#REF!</formula>
    </cfRule>
  </conditionalFormatting>
  <conditionalFormatting sqref="O12">
    <cfRule type="cellIs" dxfId="88" priority="117" stopIfTrue="1" operator="equal">
      <formula>#REF!</formula>
    </cfRule>
  </conditionalFormatting>
  <conditionalFormatting sqref="O30">
    <cfRule type="cellIs" dxfId="87" priority="114" stopIfTrue="1" operator="equal">
      <formula>#REF!</formula>
    </cfRule>
  </conditionalFormatting>
  <conditionalFormatting sqref="O13">
    <cfRule type="cellIs" dxfId="86" priority="109" stopIfTrue="1" operator="equal">
      <formula>#REF!</formula>
    </cfRule>
  </conditionalFormatting>
  <conditionalFormatting sqref="O14">
    <cfRule type="cellIs" dxfId="85" priority="106" stopIfTrue="1" operator="equal">
      <formula>#REF!</formula>
    </cfRule>
  </conditionalFormatting>
  <conditionalFormatting sqref="O15">
    <cfRule type="cellIs" dxfId="84" priority="103" stopIfTrue="1" operator="equal">
      <formula>#REF!</formula>
    </cfRule>
  </conditionalFormatting>
  <conditionalFormatting sqref="O16">
    <cfRule type="cellIs" dxfId="83" priority="100" stopIfTrue="1" operator="equal">
      <formula>#REF!</formula>
    </cfRule>
  </conditionalFormatting>
  <conditionalFormatting sqref="O17">
    <cfRule type="cellIs" dxfId="82" priority="97" stopIfTrue="1" operator="equal">
      <formula>#REF!</formula>
    </cfRule>
  </conditionalFormatting>
  <conditionalFormatting sqref="O18">
    <cfRule type="cellIs" dxfId="81" priority="94" stopIfTrue="1" operator="equal">
      <formula>#REF!</formula>
    </cfRule>
  </conditionalFormatting>
  <conditionalFormatting sqref="O36:O42">
    <cfRule type="cellIs" dxfId="80" priority="83" stopIfTrue="1" operator="equal">
      <formula>#REF!</formula>
    </cfRule>
  </conditionalFormatting>
  <conditionalFormatting sqref="P36:P42">
    <cfRule type="cellIs" dxfId="79" priority="80" stopIfTrue="1" operator="equal">
      <formula>#REF!</formula>
    </cfRule>
  </conditionalFormatting>
  <conditionalFormatting sqref="O31:P35">
    <cfRule type="cellIs" dxfId="78" priority="79" stopIfTrue="1" operator="equal">
      <formula>#REF!</formula>
    </cfRule>
  </conditionalFormatting>
  <conditionalFormatting sqref="P8:P9">
    <cfRule type="cellIs" dxfId="77" priority="78" stopIfTrue="1" operator="equal">
      <formula>#REF!</formula>
    </cfRule>
  </conditionalFormatting>
  <conditionalFormatting sqref="P8:P9">
    <cfRule type="cellIs" dxfId="76" priority="77" stopIfTrue="1" operator="equal">
      <formula>#REF!</formula>
    </cfRule>
  </conditionalFormatting>
  <conditionalFormatting sqref="P8:P9">
    <cfRule type="cellIs" dxfId="75" priority="76" stopIfTrue="1" operator="equal">
      <formula>#REF!</formula>
    </cfRule>
  </conditionalFormatting>
  <conditionalFormatting sqref="P8:P9">
    <cfRule type="cellIs" dxfId="74" priority="75" stopIfTrue="1" operator="equal">
      <formula>#REF!</formula>
    </cfRule>
  </conditionalFormatting>
  <conditionalFormatting sqref="P8:P9">
    <cfRule type="cellIs" dxfId="73" priority="74" stopIfTrue="1" operator="equal">
      <formula>#REF!</formula>
    </cfRule>
  </conditionalFormatting>
  <conditionalFormatting sqref="P8:P9">
    <cfRule type="cellIs" dxfId="72" priority="73" stopIfTrue="1" operator="equal">
      <formula>#REF!</formula>
    </cfRule>
  </conditionalFormatting>
  <conditionalFormatting sqref="P10">
    <cfRule type="cellIs" dxfId="71" priority="72" stopIfTrue="1" operator="equal">
      <formula>#REF!</formula>
    </cfRule>
  </conditionalFormatting>
  <conditionalFormatting sqref="P10">
    <cfRule type="cellIs" dxfId="70" priority="71" stopIfTrue="1" operator="equal">
      <formula>#REF!</formula>
    </cfRule>
  </conditionalFormatting>
  <conditionalFormatting sqref="P10">
    <cfRule type="cellIs" dxfId="69" priority="70" stopIfTrue="1" operator="equal">
      <formula>#REF!</formula>
    </cfRule>
  </conditionalFormatting>
  <conditionalFormatting sqref="P10">
    <cfRule type="cellIs" dxfId="68" priority="69" stopIfTrue="1" operator="equal">
      <formula>#REF!</formula>
    </cfRule>
  </conditionalFormatting>
  <conditionalFormatting sqref="P10">
    <cfRule type="cellIs" dxfId="67" priority="68" stopIfTrue="1" operator="equal">
      <formula>#REF!</formula>
    </cfRule>
  </conditionalFormatting>
  <conditionalFormatting sqref="P10">
    <cfRule type="cellIs" dxfId="66" priority="67" stopIfTrue="1" operator="equal">
      <formula>#REF!</formula>
    </cfRule>
  </conditionalFormatting>
  <conditionalFormatting sqref="P11">
    <cfRule type="cellIs" dxfId="65" priority="66" stopIfTrue="1" operator="equal">
      <formula>#REF!</formula>
    </cfRule>
  </conditionalFormatting>
  <conditionalFormatting sqref="P11">
    <cfRule type="cellIs" dxfId="64" priority="65" stopIfTrue="1" operator="equal">
      <formula>#REF!</formula>
    </cfRule>
  </conditionalFormatting>
  <conditionalFormatting sqref="P11">
    <cfRule type="cellIs" dxfId="63" priority="64" stopIfTrue="1" operator="equal">
      <formula>#REF!</formula>
    </cfRule>
  </conditionalFormatting>
  <conditionalFormatting sqref="P11">
    <cfRule type="cellIs" dxfId="62" priority="63" stopIfTrue="1" operator="equal">
      <formula>#REF!</formula>
    </cfRule>
  </conditionalFormatting>
  <conditionalFormatting sqref="P11">
    <cfRule type="cellIs" dxfId="61" priority="62" stopIfTrue="1" operator="equal">
      <formula>#REF!</formula>
    </cfRule>
  </conditionalFormatting>
  <conditionalFormatting sqref="P11">
    <cfRule type="cellIs" dxfId="60" priority="61" stopIfTrue="1" operator="equal">
      <formula>#REF!</formula>
    </cfRule>
  </conditionalFormatting>
  <conditionalFormatting sqref="P12">
    <cfRule type="cellIs" dxfId="59" priority="60" stopIfTrue="1" operator="equal">
      <formula>#REF!</formula>
    </cfRule>
  </conditionalFormatting>
  <conditionalFormatting sqref="P12">
    <cfRule type="cellIs" dxfId="58" priority="59" stopIfTrue="1" operator="equal">
      <formula>#REF!</formula>
    </cfRule>
  </conditionalFormatting>
  <conditionalFormatting sqref="P12">
    <cfRule type="cellIs" dxfId="57" priority="58" stopIfTrue="1" operator="equal">
      <formula>#REF!</formula>
    </cfRule>
  </conditionalFormatting>
  <conditionalFormatting sqref="P12">
    <cfRule type="cellIs" dxfId="56" priority="57" stopIfTrue="1" operator="equal">
      <formula>#REF!</formula>
    </cfRule>
  </conditionalFormatting>
  <conditionalFormatting sqref="P12">
    <cfRule type="cellIs" dxfId="55" priority="56" stopIfTrue="1" operator="equal">
      <formula>#REF!</formula>
    </cfRule>
  </conditionalFormatting>
  <conditionalFormatting sqref="P12">
    <cfRule type="cellIs" dxfId="54" priority="55" stopIfTrue="1" operator="equal">
      <formula>#REF!</formula>
    </cfRule>
  </conditionalFormatting>
  <conditionalFormatting sqref="P13">
    <cfRule type="cellIs" dxfId="53" priority="48" stopIfTrue="1" operator="equal">
      <formula>#REF!</formula>
    </cfRule>
  </conditionalFormatting>
  <conditionalFormatting sqref="P13">
    <cfRule type="cellIs" dxfId="52" priority="47" stopIfTrue="1" operator="equal">
      <formula>#REF!</formula>
    </cfRule>
  </conditionalFormatting>
  <conditionalFormatting sqref="P13">
    <cfRule type="cellIs" dxfId="51" priority="46" stopIfTrue="1" operator="equal">
      <formula>#REF!</formula>
    </cfRule>
  </conditionalFormatting>
  <conditionalFormatting sqref="P13">
    <cfRule type="cellIs" dxfId="50" priority="45" stopIfTrue="1" operator="equal">
      <formula>#REF!</formula>
    </cfRule>
  </conditionalFormatting>
  <conditionalFormatting sqref="P13">
    <cfRule type="cellIs" dxfId="49" priority="44" stopIfTrue="1" operator="equal">
      <formula>#REF!</formula>
    </cfRule>
  </conditionalFormatting>
  <conditionalFormatting sqref="P13">
    <cfRule type="cellIs" dxfId="48" priority="43" stopIfTrue="1" operator="equal">
      <formula>#REF!</formula>
    </cfRule>
  </conditionalFormatting>
  <conditionalFormatting sqref="P14">
    <cfRule type="cellIs" dxfId="47" priority="42" stopIfTrue="1" operator="equal">
      <formula>#REF!</formula>
    </cfRule>
  </conditionalFormatting>
  <conditionalFormatting sqref="P14">
    <cfRule type="cellIs" dxfId="46" priority="41" stopIfTrue="1" operator="equal">
      <formula>#REF!</formula>
    </cfRule>
  </conditionalFormatting>
  <conditionalFormatting sqref="P14">
    <cfRule type="cellIs" dxfId="45" priority="40" stopIfTrue="1" operator="equal">
      <formula>#REF!</formula>
    </cfRule>
  </conditionalFormatting>
  <conditionalFormatting sqref="P14">
    <cfRule type="cellIs" dxfId="44" priority="39" stopIfTrue="1" operator="equal">
      <formula>#REF!</formula>
    </cfRule>
  </conditionalFormatting>
  <conditionalFormatting sqref="P14">
    <cfRule type="cellIs" dxfId="43" priority="38" stopIfTrue="1" operator="equal">
      <formula>#REF!</formula>
    </cfRule>
  </conditionalFormatting>
  <conditionalFormatting sqref="P14">
    <cfRule type="cellIs" dxfId="42" priority="37" stopIfTrue="1" operator="equal">
      <formula>#REF!</formula>
    </cfRule>
  </conditionalFormatting>
  <conditionalFormatting sqref="P15">
    <cfRule type="cellIs" dxfId="41" priority="36" stopIfTrue="1" operator="equal">
      <formula>#REF!</formula>
    </cfRule>
  </conditionalFormatting>
  <conditionalFormatting sqref="P15">
    <cfRule type="cellIs" dxfId="40" priority="35" stopIfTrue="1" operator="equal">
      <formula>#REF!</formula>
    </cfRule>
  </conditionalFormatting>
  <conditionalFormatting sqref="P15">
    <cfRule type="cellIs" dxfId="39" priority="34" stopIfTrue="1" operator="equal">
      <formula>#REF!</formula>
    </cfRule>
  </conditionalFormatting>
  <conditionalFormatting sqref="P15">
    <cfRule type="cellIs" dxfId="38" priority="33" stopIfTrue="1" operator="equal">
      <formula>#REF!</formula>
    </cfRule>
  </conditionalFormatting>
  <conditionalFormatting sqref="P15">
    <cfRule type="cellIs" dxfId="37" priority="32" stopIfTrue="1" operator="equal">
      <formula>#REF!</formula>
    </cfRule>
  </conditionalFormatting>
  <conditionalFormatting sqref="P15">
    <cfRule type="cellIs" dxfId="36" priority="31" stopIfTrue="1" operator="equal">
      <formula>#REF!</formula>
    </cfRule>
  </conditionalFormatting>
  <conditionalFormatting sqref="P16">
    <cfRule type="cellIs" dxfId="35" priority="30" stopIfTrue="1" operator="equal">
      <formula>#REF!</formula>
    </cfRule>
  </conditionalFormatting>
  <conditionalFormatting sqref="P16">
    <cfRule type="cellIs" dxfId="34" priority="29" stopIfTrue="1" operator="equal">
      <formula>#REF!</formula>
    </cfRule>
  </conditionalFormatting>
  <conditionalFormatting sqref="P16">
    <cfRule type="cellIs" dxfId="33" priority="28" stopIfTrue="1" operator="equal">
      <formula>#REF!</formula>
    </cfRule>
  </conditionalFormatting>
  <conditionalFormatting sqref="P16">
    <cfRule type="cellIs" dxfId="32" priority="27" stopIfTrue="1" operator="equal">
      <formula>#REF!</formula>
    </cfRule>
  </conditionalFormatting>
  <conditionalFormatting sqref="P16">
    <cfRule type="cellIs" dxfId="31" priority="26" stopIfTrue="1" operator="equal">
      <formula>#REF!</formula>
    </cfRule>
  </conditionalFormatting>
  <conditionalFormatting sqref="P16">
    <cfRule type="cellIs" dxfId="30" priority="25" stopIfTrue="1" operator="equal">
      <formula>#REF!</formula>
    </cfRule>
  </conditionalFormatting>
  <conditionalFormatting sqref="P17">
    <cfRule type="cellIs" dxfId="29" priority="24" stopIfTrue="1" operator="equal">
      <formula>#REF!</formula>
    </cfRule>
  </conditionalFormatting>
  <conditionalFormatting sqref="P17">
    <cfRule type="cellIs" dxfId="28" priority="23" stopIfTrue="1" operator="equal">
      <formula>#REF!</formula>
    </cfRule>
  </conditionalFormatting>
  <conditionalFormatting sqref="P17">
    <cfRule type="cellIs" dxfId="27" priority="22" stopIfTrue="1" operator="equal">
      <formula>#REF!</formula>
    </cfRule>
  </conditionalFormatting>
  <conditionalFormatting sqref="P17">
    <cfRule type="cellIs" dxfId="26" priority="21" stopIfTrue="1" operator="equal">
      <formula>#REF!</formula>
    </cfRule>
  </conditionalFormatting>
  <conditionalFormatting sqref="P17">
    <cfRule type="cellIs" dxfId="25" priority="20" stopIfTrue="1" operator="equal">
      <formula>#REF!</formula>
    </cfRule>
  </conditionalFormatting>
  <conditionalFormatting sqref="P17">
    <cfRule type="cellIs" dxfId="24" priority="19" stopIfTrue="1" operator="equal">
      <formula>#REF!</formula>
    </cfRule>
  </conditionalFormatting>
  <conditionalFormatting sqref="P18">
    <cfRule type="cellIs" dxfId="23" priority="18" stopIfTrue="1" operator="equal">
      <formula>#REF!</formula>
    </cfRule>
  </conditionalFormatting>
  <conditionalFormatting sqref="P18">
    <cfRule type="cellIs" dxfId="22" priority="17" stopIfTrue="1" operator="equal">
      <formula>#REF!</formula>
    </cfRule>
  </conditionalFormatting>
  <conditionalFormatting sqref="P18">
    <cfRule type="cellIs" dxfId="21" priority="16" stopIfTrue="1" operator="equal">
      <formula>#REF!</formula>
    </cfRule>
  </conditionalFormatting>
  <conditionalFormatting sqref="P18">
    <cfRule type="cellIs" dxfId="20" priority="15" stopIfTrue="1" operator="equal">
      <formula>#REF!</formula>
    </cfRule>
  </conditionalFormatting>
  <conditionalFormatting sqref="P18">
    <cfRule type="cellIs" dxfId="19" priority="14" stopIfTrue="1" operator="equal">
      <formula>#REF!</formula>
    </cfRule>
  </conditionalFormatting>
  <conditionalFormatting sqref="P18">
    <cfRule type="cellIs" dxfId="18" priority="13" stopIfTrue="1" operator="equal">
      <formula>#REF!</formula>
    </cfRule>
  </conditionalFormatting>
  <conditionalFormatting sqref="P19">
    <cfRule type="cellIs" dxfId="17" priority="12" stopIfTrue="1" operator="equal">
      <formula>#REF!</formula>
    </cfRule>
  </conditionalFormatting>
  <conditionalFormatting sqref="P19">
    <cfRule type="cellIs" dxfId="16" priority="11" stopIfTrue="1" operator="equal">
      <formula>#REF!</formula>
    </cfRule>
  </conditionalFormatting>
  <conditionalFormatting sqref="P19">
    <cfRule type="cellIs" dxfId="15" priority="10" stopIfTrue="1" operator="equal">
      <formula>#REF!</formula>
    </cfRule>
  </conditionalFormatting>
  <conditionalFormatting sqref="P19">
    <cfRule type="cellIs" dxfId="14" priority="9" stopIfTrue="1" operator="equal">
      <formula>#REF!</formula>
    </cfRule>
  </conditionalFormatting>
  <conditionalFormatting sqref="P19">
    <cfRule type="cellIs" dxfId="13" priority="8" stopIfTrue="1" operator="equal">
      <formula>#REF!</formula>
    </cfRule>
  </conditionalFormatting>
  <conditionalFormatting sqref="P19">
    <cfRule type="cellIs" dxfId="12" priority="7" stopIfTrue="1" operator="equal">
      <formula>#REF!</formula>
    </cfRule>
  </conditionalFormatting>
  <conditionalFormatting sqref="P30">
    <cfRule type="cellIs" dxfId="11" priority="6" stopIfTrue="1" operator="equal">
      <formula>#REF!</formula>
    </cfRule>
  </conditionalFormatting>
  <conditionalFormatting sqref="P30">
    <cfRule type="cellIs" dxfId="10" priority="5" stopIfTrue="1" operator="equal">
      <formula>#REF!</formula>
    </cfRule>
  </conditionalFormatting>
  <conditionalFormatting sqref="P30">
    <cfRule type="cellIs" dxfId="9" priority="4" stopIfTrue="1" operator="equal">
      <formula>#REF!</formula>
    </cfRule>
  </conditionalFormatting>
  <conditionalFormatting sqref="P30">
    <cfRule type="cellIs" dxfId="8" priority="3" stopIfTrue="1" operator="equal">
      <formula>#REF!</formula>
    </cfRule>
  </conditionalFormatting>
  <conditionalFormatting sqref="P30">
    <cfRule type="cellIs" dxfId="7" priority="2" stopIfTrue="1" operator="equal">
      <formula>#REF!</formula>
    </cfRule>
  </conditionalFormatting>
  <conditionalFormatting sqref="P30">
    <cfRule type="cellIs" dxfId="6" priority="1" stopIfTrue="1" operator="equal">
      <formula>#REF!</formula>
    </cfRule>
  </conditionalFormatting>
  <dataValidations count="5">
    <dataValidation type="list" allowBlank="1" showInputMessage="1" showErrorMessage="1" sqref="I8:I59">
      <formula1>Etat</formula1>
    </dataValidation>
    <dataValidation type="list" allowBlank="1" showInputMessage="1" showErrorMessage="1" sqref="D8:D59">
      <formula1>Priorité</formula1>
    </dataValidation>
    <dataValidation type="list" allowBlank="1" showInputMessage="1" showErrorMessage="1" sqref="M8:M59">
      <formula1>Conformité</formula1>
    </dataValidation>
    <dataValidation type="list" allowBlank="1" showInputMessage="1" showErrorMessage="1" sqref="G8:G59">
      <formula1>"1,2,3"</formula1>
    </dataValidation>
    <dataValidation type="list" allowBlank="1" showInputMessage="1" showErrorMessage="1" sqref="H8:H59">
      <formula1>"complexe,normale,simple"</formula1>
    </dataValidation>
  </dataValidations>
  <printOptions horizontalCentered="1" verticalCentered="1"/>
  <pageMargins left="0" right="0" top="0.35433070866141736" bottom="0.39370078740157483" header="0.31496062992125984" footer="0.15748031496062992"/>
  <pageSetup paperSize="9" scale="60"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contrainte" enableFormatConditionsCalculation="0">
    <tabColor indexed="61"/>
    <pageSetUpPr fitToPage="1"/>
  </sheetPr>
  <dimension ref="A1:S26"/>
  <sheetViews>
    <sheetView showGridLines="0" zoomScale="110" zoomScaleNormal="110" workbookViewId="0">
      <selection activeCell="C13" sqref="C13"/>
    </sheetView>
  </sheetViews>
  <sheetFormatPr baseColWidth="10" defaultRowHeight="12.75" x14ac:dyDescent="0.2"/>
  <cols>
    <col min="1" max="1" width="4.85546875" style="160" customWidth="1"/>
    <col min="2" max="2" width="21.42578125" style="211" customWidth="1"/>
    <col min="3" max="3" width="45.7109375" style="211" customWidth="1"/>
    <col min="4" max="6" width="10.7109375" style="211" customWidth="1"/>
    <col min="7" max="7" width="9.85546875" style="211" bestFit="1" customWidth="1"/>
    <col min="8" max="8" width="15.7109375" style="211" hidden="1" customWidth="1"/>
    <col min="9" max="9" width="10.7109375" style="212" customWidth="1"/>
    <col min="10" max="10" width="13.5703125" style="212" hidden="1" customWidth="1"/>
    <col min="11" max="11" width="11.28515625" style="212" hidden="1" customWidth="1"/>
    <col min="12" max="14" width="17.7109375" style="212" hidden="1" customWidth="1"/>
    <col min="15" max="15" width="10.7109375" style="212" hidden="1" customWidth="1"/>
    <col min="16" max="16" width="11.140625" style="211" customWidth="1"/>
    <col min="17" max="17" width="14" style="211" bestFit="1" customWidth="1"/>
    <col min="18" max="18" width="11.42578125" style="163"/>
    <col min="19" max="19" width="9.42578125" style="163" bestFit="1" customWidth="1"/>
    <col min="20" max="20" width="12" style="163" bestFit="1" customWidth="1"/>
    <col min="21" max="21" width="7" style="163" customWidth="1"/>
    <col min="22" max="22" width="9" style="163" bestFit="1" customWidth="1"/>
    <col min="23" max="16384" width="11.42578125" style="163"/>
  </cols>
  <sheetData>
    <row r="1" spans="1:19" ht="38.25" x14ac:dyDescent="0.2">
      <c r="B1" s="214" t="s">
        <v>9</v>
      </c>
      <c r="C1" s="249" t="s">
        <v>158</v>
      </c>
      <c r="D1" s="249"/>
      <c r="E1" s="249"/>
      <c r="F1" s="249"/>
      <c r="G1" s="249"/>
      <c r="H1" s="249"/>
      <c r="I1" s="249"/>
      <c r="J1" s="249"/>
      <c r="K1" s="249"/>
      <c r="L1" s="249"/>
      <c r="M1" s="249"/>
      <c r="N1" s="249"/>
      <c r="O1" s="249"/>
      <c r="P1" s="249"/>
      <c r="Q1" s="249"/>
      <c r="R1" s="249"/>
      <c r="S1" s="249"/>
    </row>
    <row r="2" spans="1:19" ht="13.5" customHeight="1" x14ac:dyDescent="0.2">
      <c r="B2" s="250" t="s">
        <v>167</v>
      </c>
      <c r="C2" s="250"/>
      <c r="D2" s="250"/>
      <c r="E2" s="250"/>
      <c r="F2" s="250"/>
      <c r="G2" s="250"/>
      <c r="H2" s="250"/>
      <c r="I2" s="250"/>
      <c r="P2" s="212"/>
      <c r="Q2" s="212"/>
      <c r="R2" s="215"/>
    </row>
    <row r="3" spans="1:19" x14ac:dyDescent="0.2">
      <c r="B3" s="247" t="s">
        <v>41</v>
      </c>
      <c r="C3" s="247"/>
      <c r="D3" s="247"/>
      <c r="E3" s="247"/>
      <c r="F3" s="247"/>
      <c r="G3" s="247"/>
      <c r="H3" s="247"/>
      <c r="I3" s="247"/>
      <c r="J3" s="247"/>
      <c r="K3" s="247"/>
      <c r="L3" s="247"/>
      <c r="M3" s="164"/>
      <c r="N3" s="164"/>
      <c r="O3" s="164"/>
      <c r="P3" s="216"/>
      <c r="Q3" s="165"/>
    </row>
    <row r="4" spans="1:19" ht="13.5" thickBot="1" x14ac:dyDescent="0.25">
      <c r="B4" s="167"/>
      <c r="C4" s="167"/>
      <c r="D4" s="167"/>
      <c r="E4" s="167"/>
      <c r="F4" s="167"/>
      <c r="G4" s="167"/>
      <c r="H4" s="167"/>
      <c r="I4" s="167"/>
      <c r="J4" s="167"/>
      <c r="K4" s="167"/>
      <c r="L4" s="167"/>
      <c r="M4" s="167"/>
      <c r="N4" s="167"/>
      <c r="O4" s="167"/>
      <c r="P4" s="167"/>
      <c r="Q4" s="167"/>
    </row>
    <row r="5" spans="1:19" s="174" customFormat="1" ht="10.5" x14ac:dyDescent="0.2">
      <c r="A5" s="168"/>
      <c r="B5" s="169" t="s">
        <v>94</v>
      </c>
      <c r="C5" s="170" t="s">
        <v>95</v>
      </c>
      <c r="D5" s="170" t="s">
        <v>96</v>
      </c>
      <c r="E5" s="170"/>
      <c r="F5" s="170"/>
      <c r="G5" s="170"/>
      <c r="H5" s="170"/>
      <c r="I5" s="170"/>
      <c r="J5" s="171"/>
      <c r="K5" s="171"/>
      <c r="L5" s="171"/>
      <c r="M5" s="171"/>
      <c r="N5" s="171"/>
      <c r="O5" s="172"/>
      <c r="P5" s="172"/>
      <c r="Q5" s="173"/>
    </row>
    <row r="6" spans="1:19" s="174" customFormat="1" ht="11.25" thickBot="1" x14ac:dyDescent="0.25">
      <c r="A6" s="168"/>
      <c r="B6" s="217">
        <f>COUNTA(B8:B986)</f>
        <v>5</v>
      </c>
      <c r="C6" s="218">
        <f>SUBTOTAL(3,B8:B986)</f>
        <v>5</v>
      </c>
      <c r="D6" s="219">
        <f>IF(C6=0,0,C6/B6)</f>
        <v>1</v>
      </c>
      <c r="E6" s="219"/>
      <c r="F6" s="219"/>
      <c r="G6" s="218"/>
      <c r="H6" s="218"/>
      <c r="I6" s="218"/>
      <c r="J6" s="220"/>
      <c r="K6" s="220"/>
      <c r="L6" s="220"/>
      <c r="M6" s="221"/>
      <c r="N6" s="221"/>
      <c r="P6" s="222"/>
      <c r="Q6" s="223"/>
    </row>
    <row r="7" spans="1:19" ht="42.75" customHeight="1" thickBot="1" x14ac:dyDescent="0.25">
      <c r="B7" s="224" t="s">
        <v>14</v>
      </c>
      <c r="C7" s="183" t="s">
        <v>13</v>
      </c>
      <c r="D7" s="183" t="s">
        <v>126</v>
      </c>
      <c r="E7" s="183" t="s">
        <v>110</v>
      </c>
      <c r="F7" s="183" t="s">
        <v>101</v>
      </c>
      <c r="G7" s="183" t="s">
        <v>128</v>
      </c>
      <c r="H7" s="183" t="s">
        <v>127</v>
      </c>
      <c r="I7" s="183" t="s">
        <v>108</v>
      </c>
      <c r="J7" s="183" t="s">
        <v>15</v>
      </c>
      <c r="K7" s="183" t="s">
        <v>30</v>
      </c>
      <c r="L7" s="183" t="s">
        <v>120</v>
      </c>
      <c r="M7" s="183" t="s">
        <v>74</v>
      </c>
      <c r="N7" s="183" t="s">
        <v>75</v>
      </c>
      <c r="O7" s="183" t="s">
        <v>130</v>
      </c>
      <c r="P7" s="183" t="s">
        <v>66</v>
      </c>
      <c r="Q7" s="225" t="s">
        <v>129</v>
      </c>
    </row>
    <row r="8" spans="1:19" ht="38.25" x14ac:dyDescent="0.2">
      <c r="A8" s="160">
        <v>1</v>
      </c>
      <c r="B8" s="226" t="s">
        <v>162</v>
      </c>
      <c r="C8" s="186" t="s">
        <v>160</v>
      </c>
      <c r="D8" s="187"/>
      <c r="E8" s="187"/>
      <c r="F8" s="187" t="s">
        <v>151</v>
      </c>
      <c r="G8" s="187">
        <v>2</v>
      </c>
      <c r="H8" s="187"/>
      <c r="I8" s="188"/>
      <c r="J8" s="187"/>
      <c r="K8" s="187"/>
      <c r="L8" s="186"/>
      <c r="M8" s="188"/>
      <c r="N8" s="186"/>
      <c r="O8" s="195"/>
      <c r="P8" s="195"/>
      <c r="Q8" s="197"/>
    </row>
    <row r="9" spans="1:19" ht="76.5" x14ac:dyDescent="0.2">
      <c r="A9" s="160">
        <f>A8+1</f>
        <v>2</v>
      </c>
      <c r="B9" s="226" t="s">
        <v>164</v>
      </c>
      <c r="C9" s="186" t="s">
        <v>165</v>
      </c>
      <c r="D9" s="187"/>
      <c r="E9" s="187"/>
      <c r="F9" s="187" t="s">
        <v>151</v>
      </c>
      <c r="G9" s="187">
        <v>2</v>
      </c>
      <c r="H9" s="187"/>
      <c r="I9" s="188"/>
      <c r="J9" s="187"/>
      <c r="K9" s="187"/>
      <c r="L9" s="186"/>
      <c r="M9" s="188"/>
      <c r="N9" s="186"/>
      <c r="O9" s="195"/>
      <c r="P9" s="195"/>
      <c r="Q9" s="197"/>
    </row>
    <row r="10" spans="1:19" ht="51" x14ac:dyDescent="0.2">
      <c r="A10" s="160">
        <f t="shared" ref="A10:A26" si="0">A9+1</f>
        <v>3</v>
      </c>
      <c r="B10" s="226" t="s">
        <v>161</v>
      </c>
      <c r="C10" s="186" t="s">
        <v>254</v>
      </c>
      <c r="D10" s="187"/>
      <c r="E10" s="187"/>
      <c r="F10" s="187" t="s">
        <v>151</v>
      </c>
      <c r="G10" s="187">
        <v>1</v>
      </c>
      <c r="H10" s="187"/>
      <c r="I10" s="188"/>
      <c r="J10" s="187"/>
      <c r="K10" s="187"/>
      <c r="L10" s="186"/>
      <c r="M10" s="188"/>
      <c r="N10" s="186"/>
      <c r="O10" s="195"/>
      <c r="P10" s="195"/>
      <c r="Q10" s="197"/>
    </row>
    <row r="11" spans="1:19" ht="51" x14ac:dyDescent="0.2">
      <c r="A11" s="160">
        <f t="shared" si="0"/>
        <v>4</v>
      </c>
      <c r="B11" s="226" t="s">
        <v>163</v>
      </c>
      <c r="C11" s="186" t="s">
        <v>255</v>
      </c>
      <c r="D11" s="187"/>
      <c r="E11" s="187"/>
      <c r="F11" s="187" t="s">
        <v>151</v>
      </c>
      <c r="G11" s="187">
        <v>1</v>
      </c>
      <c r="H11" s="187"/>
      <c r="I11" s="188"/>
      <c r="J11" s="187"/>
      <c r="K11" s="187"/>
      <c r="L11" s="186"/>
      <c r="M11" s="188"/>
      <c r="N11" s="186"/>
      <c r="O11" s="195"/>
      <c r="P11" s="195"/>
      <c r="Q11" s="197"/>
    </row>
    <row r="12" spans="1:19" ht="63.75" x14ac:dyDescent="0.2">
      <c r="A12" s="160">
        <v>5</v>
      </c>
      <c r="B12" s="227" t="s">
        <v>166</v>
      </c>
      <c r="C12" s="186" t="s">
        <v>256</v>
      </c>
      <c r="D12" s="187"/>
      <c r="E12" s="187"/>
      <c r="F12" s="187" t="s">
        <v>151</v>
      </c>
      <c r="G12" s="187">
        <v>3</v>
      </c>
      <c r="H12" s="187"/>
      <c r="I12" s="188"/>
      <c r="J12" s="187"/>
      <c r="K12" s="187"/>
      <c r="L12" s="186"/>
      <c r="M12" s="188"/>
      <c r="N12" s="186"/>
      <c r="O12" s="195"/>
      <c r="P12" s="195"/>
      <c r="Q12" s="197"/>
    </row>
    <row r="13" spans="1:19" x14ac:dyDescent="0.2">
      <c r="A13" s="160">
        <f t="shared" si="0"/>
        <v>6</v>
      </c>
      <c r="B13" s="227"/>
      <c r="C13" s="186"/>
      <c r="D13" s="187"/>
      <c r="E13" s="187"/>
      <c r="F13" s="187"/>
      <c r="G13" s="187"/>
      <c r="H13" s="187"/>
      <c r="I13" s="188"/>
      <c r="J13" s="187"/>
      <c r="K13" s="187"/>
      <c r="L13" s="186"/>
      <c r="M13" s="188"/>
      <c r="N13" s="186"/>
      <c r="O13" s="195"/>
      <c r="P13" s="195"/>
      <c r="Q13" s="197"/>
    </row>
    <row r="14" spans="1:19" x14ac:dyDescent="0.2">
      <c r="A14" s="160">
        <f t="shared" si="0"/>
        <v>7</v>
      </c>
      <c r="B14" s="226"/>
      <c r="C14" s="186"/>
      <c r="D14" s="187"/>
      <c r="E14" s="187"/>
      <c r="F14" s="187"/>
      <c r="G14" s="187"/>
      <c r="H14" s="187"/>
      <c r="I14" s="188"/>
      <c r="J14" s="187"/>
      <c r="K14" s="187"/>
      <c r="L14" s="186"/>
      <c r="M14" s="188"/>
      <c r="N14" s="186"/>
      <c r="O14" s="195"/>
      <c r="P14" s="195"/>
      <c r="Q14" s="197"/>
    </row>
    <row r="15" spans="1:19" x14ac:dyDescent="0.2">
      <c r="A15" s="160">
        <f t="shared" si="0"/>
        <v>8</v>
      </c>
      <c r="B15" s="226"/>
      <c r="C15" s="186"/>
      <c r="D15" s="187"/>
      <c r="E15" s="187"/>
      <c r="F15" s="187"/>
      <c r="G15" s="187"/>
      <c r="H15" s="187"/>
      <c r="I15" s="188"/>
      <c r="J15" s="187"/>
      <c r="K15" s="187"/>
      <c r="L15" s="186"/>
      <c r="M15" s="188"/>
      <c r="N15" s="186"/>
      <c r="O15" s="195"/>
      <c r="P15" s="195"/>
      <c r="Q15" s="197"/>
    </row>
    <row r="16" spans="1:19" x14ac:dyDescent="0.2">
      <c r="A16" s="160">
        <f t="shared" si="0"/>
        <v>9</v>
      </c>
      <c r="B16" s="226"/>
      <c r="C16" s="186"/>
      <c r="D16" s="187"/>
      <c r="E16" s="187"/>
      <c r="F16" s="187"/>
      <c r="G16" s="187"/>
      <c r="H16" s="187"/>
      <c r="I16" s="188"/>
      <c r="J16" s="187"/>
      <c r="K16" s="187"/>
      <c r="L16" s="186"/>
      <c r="M16" s="188"/>
      <c r="N16" s="186"/>
      <c r="O16" s="195"/>
      <c r="P16" s="195"/>
      <c r="Q16" s="197"/>
    </row>
    <row r="17" spans="1:17" x14ac:dyDescent="0.2">
      <c r="A17" s="160">
        <f t="shared" si="0"/>
        <v>10</v>
      </c>
      <c r="B17" s="226"/>
      <c r="C17" s="186"/>
      <c r="D17" s="187"/>
      <c r="E17" s="187"/>
      <c r="F17" s="187"/>
      <c r="G17" s="187"/>
      <c r="H17" s="187"/>
      <c r="I17" s="188"/>
      <c r="J17" s="187"/>
      <c r="K17" s="187"/>
      <c r="L17" s="186"/>
      <c r="M17" s="188"/>
      <c r="N17" s="186"/>
      <c r="O17" s="195"/>
      <c r="P17" s="195"/>
      <c r="Q17" s="197"/>
    </row>
    <row r="18" spans="1:17" x14ac:dyDescent="0.2">
      <c r="A18" s="160">
        <f t="shared" si="0"/>
        <v>11</v>
      </c>
      <c r="B18" s="226"/>
      <c r="C18" s="186"/>
      <c r="D18" s="187"/>
      <c r="E18" s="187"/>
      <c r="F18" s="187"/>
      <c r="G18" s="187"/>
      <c r="H18" s="187"/>
      <c r="I18" s="188"/>
      <c r="J18" s="187"/>
      <c r="K18" s="187"/>
      <c r="L18" s="186"/>
      <c r="M18" s="188"/>
      <c r="N18" s="186"/>
      <c r="O18" s="195"/>
      <c r="P18" s="195"/>
      <c r="Q18" s="197"/>
    </row>
    <row r="19" spans="1:17" x14ac:dyDescent="0.2">
      <c r="A19" s="160">
        <f t="shared" si="0"/>
        <v>12</v>
      </c>
      <c r="B19" s="226"/>
      <c r="C19" s="186"/>
      <c r="D19" s="187"/>
      <c r="E19" s="187"/>
      <c r="F19" s="187"/>
      <c r="G19" s="187"/>
      <c r="H19" s="187"/>
      <c r="I19" s="188"/>
      <c r="J19" s="187"/>
      <c r="K19" s="187"/>
      <c r="L19" s="186"/>
      <c r="M19" s="188"/>
      <c r="N19" s="186"/>
      <c r="O19" s="195"/>
      <c r="P19" s="195"/>
      <c r="Q19" s="197"/>
    </row>
    <row r="20" spans="1:17" x14ac:dyDescent="0.2">
      <c r="A20" s="160">
        <f t="shared" si="0"/>
        <v>13</v>
      </c>
      <c r="B20" s="226"/>
      <c r="C20" s="186"/>
      <c r="D20" s="187"/>
      <c r="E20" s="187"/>
      <c r="F20" s="187"/>
      <c r="G20" s="187"/>
      <c r="H20" s="187"/>
      <c r="I20" s="188"/>
      <c r="J20" s="187"/>
      <c r="K20" s="187"/>
      <c r="L20" s="186"/>
      <c r="M20" s="188"/>
      <c r="N20" s="186"/>
      <c r="O20" s="195"/>
      <c r="P20" s="195"/>
      <c r="Q20" s="197"/>
    </row>
    <row r="21" spans="1:17" x14ac:dyDescent="0.2">
      <c r="A21" s="160">
        <f t="shared" si="0"/>
        <v>14</v>
      </c>
      <c r="B21" s="226"/>
      <c r="C21" s="186"/>
      <c r="D21" s="187"/>
      <c r="E21" s="187"/>
      <c r="F21" s="187"/>
      <c r="G21" s="187"/>
      <c r="H21" s="187"/>
      <c r="I21" s="188"/>
      <c r="J21" s="187"/>
      <c r="K21" s="187"/>
      <c r="L21" s="186"/>
      <c r="M21" s="188"/>
      <c r="N21" s="186"/>
      <c r="O21" s="195"/>
      <c r="P21" s="195"/>
      <c r="Q21" s="197"/>
    </row>
    <row r="22" spans="1:17" x14ac:dyDescent="0.2">
      <c r="A22" s="160">
        <f t="shared" si="0"/>
        <v>15</v>
      </c>
      <c r="B22" s="226"/>
      <c r="C22" s="186"/>
      <c r="D22" s="187"/>
      <c r="E22" s="187"/>
      <c r="F22" s="187"/>
      <c r="G22" s="187"/>
      <c r="H22" s="187"/>
      <c r="I22" s="188"/>
      <c r="J22" s="187"/>
      <c r="K22" s="187"/>
      <c r="L22" s="186"/>
      <c r="M22" s="188"/>
      <c r="N22" s="186"/>
      <c r="O22" s="195"/>
      <c r="P22" s="195"/>
      <c r="Q22" s="197"/>
    </row>
    <row r="23" spans="1:17" x14ac:dyDescent="0.2">
      <c r="A23" s="160">
        <f t="shared" si="0"/>
        <v>16</v>
      </c>
      <c r="B23" s="226"/>
      <c r="C23" s="186"/>
      <c r="D23" s="187"/>
      <c r="E23" s="187"/>
      <c r="F23" s="187"/>
      <c r="G23" s="187"/>
      <c r="H23" s="187"/>
      <c r="I23" s="188"/>
      <c r="J23" s="187"/>
      <c r="K23" s="187"/>
      <c r="L23" s="186"/>
      <c r="M23" s="188"/>
      <c r="N23" s="186"/>
      <c r="O23" s="195"/>
      <c r="P23" s="195"/>
      <c r="Q23" s="197"/>
    </row>
    <row r="24" spans="1:17" x14ac:dyDescent="0.2">
      <c r="A24" s="160">
        <f t="shared" si="0"/>
        <v>17</v>
      </c>
      <c r="B24" s="226"/>
      <c r="C24" s="186"/>
      <c r="D24" s="187"/>
      <c r="E24" s="187"/>
      <c r="F24" s="187"/>
      <c r="G24" s="187"/>
      <c r="H24" s="187"/>
      <c r="I24" s="188"/>
      <c r="J24" s="187"/>
      <c r="K24" s="187"/>
      <c r="L24" s="186"/>
      <c r="M24" s="188"/>
      <c r="N24" s="186"/>
      <c r="O24" s="195"/>
      <c r="P24" s="195"/>
      <c r="Q24" s="197"/>
    </row>
    <row r="25" spans="1:17" x14ac:dyDescent="0.2">
      <c r="A25" s="160">
        <f t="shared" si="0"/>
        <v>18</v>
      </c>
      <c r="B25" s="226"/>
      <c r="C25" s="186"/>
      <c r="D25" s="187"/>
      <c r="E25" s="187"/>
      <c r="F25" s="187"/>
      <c r="G25" s="187"/>
      <c r="H25" s="187"/>
      <c r="I25" s="188"/>
      <c r="J25" s="187"/>
      <c r="K25" s="187"/>
      <c r="L25" s="186"/>
      <c r="M25" s="188"/>
      <c r="N25" s="186"/>
      <c r="O25" s="195"/>
      <c r="P25" s="195"/>
      <c r="Q25" s="197"/>
    </row>
    <row r="26" spans="1:17" x14ac:dyDescent="0.2">
      <c r="A26" s="160">
        <f t="shared" si="0"/>
        <v>19</v>
      </c>
      <c r="B26" s="226"/>
      <c r="C26" s="186"/>
      <c r="D26" s="187"/>
      <c r="E26" s="187"/>
      <c r="F26" s="187"/>
      <c r="G26" s="187"/>
      <c r="H26" s="187"/>
      <c r="I26" s="188"/>
      <c r="J26" s="187"/>
      <c r="K26" s="187"/>
      <c r="L26" s="186"/>
      <c r="M26" s="188"/>
      <c r="N26" s="186"/>
      <c r="O26" s="195"/>
      <c r="P26" s="195"/>
      <c r="Q26" s="197"/>
    </row>
  </sheetData>
  <mergeCells count="3">
    <mergeCell ref="C1:S1"/>
    <mergeCell ref="B3:L3"/>
    <mergeCell ref="B2:I2"/>
  </mergeCells>
  <phoneticPr fontId="5" type="noConversion"/>
  <conditionalFormatting sqref="O8:P8 O10:P26">
    <cfRule type="cellIs" dxfId="5" priority="2" stopIfTrue="1" operator="equal">
      <formula>#REF!</formula>
    </cfRule>
  </conditionalFormatting>
  <conditionalFormatting sqref="O9:P9">
    <cfRule type="cellIs" dxfId="4" priority="1" stopIfTrue="1" operator="equal">
      <formula>#REF!</formula>
    </cfRule>
  </conditionalFormatting>
  <dataValidations count="5">
    <dataValidation type="list" allowBlank="1" showInputMessage="1" showErrorMessage="1" sqref="I8:I26">
      <formula1>Etat</formula1>
    </dataValidation>
    <dataValidation type="list" allowBlank="1" showInputMessage="1" showErrorMessage="1" sqref="M8:M26">
      <formula1>Conformité</formula1>
    </dataValidation>
    <dataValidation type="list" allowBlank="1" showInputMessage="1" showErrorMessage="1" sqref="G8:G26">
      <formula1>"1,2,3"</formula1>
    </dataValidation>
    <dataValidation type="list" allowBlank="1" showInputMessage="1" showErrorMessage="1" sqref="H8:H26">
      <formula1>"Complexe,Normale,Simple"</formula1>
    </dataValidation>
    <dataValidation type="list" allowBlank="1" showInputMessage="1" showErrorMessage="1" sqref="D8:D26">
      <formula1>Priorité</formula1>
    </dataValidation>
  </dataValidations>
  <printOptions horizontalCentered="1" verticalCentered="1"/>
  <pageMargins left="0" right="0" top="0.35433070866141736" bottom="0.39370078740157483" header="0.31496062992125984" footer="0.15748031496062992"/>
  <pageSetup paperSize="9" scale="92"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synthese">
    <pageSetUpPr fitToPage="1"/>
  </sheetPr>
  <dimension ref="A1:K14"/>
  <sheetViews>
    <sheetView showGridLines="0" topLeftCell="A2" zoomScaleNormal="100" workbookViewId="0">
      <selection activeCell="B29" sqref="B29"/>
    </sheetView>
  </sheetViews>
  <sheetFormatPr baseColWidth="10" defaultRowHeight="12.75" x14ac:dyDescent="0.2"/>
  <cols>
    <col min="1" max="1" width="27.42578125" style="72" bestFit="1" customWidth="1"/>
    <col min="2" max="2" width="60.140625" style="111" customWidth="1"/>
    <col min="3" max="3" width="15.7109375" style="71" customWidth="1"/>
    <col min="4" max="4" width="14.7109375" style="71" customWidth="1"/>
    <col min="5" max="5" width="39.140625" style="71" customWidth="1"/>
    <col min="6" max="16384" width="11.42578125" style="71"/>
  </cols>
  <sheetData>
    <row r="1" spans="1:11" hidden="1" x14ac:dyDescent="0.2">
      <c r="A1" s="116"/>
      <c r="B1" s="99"/>
      <c r="C1" s="100"/>
      <c r="D1" s="98"/>
      <c r="E1" s="98"/>
      <c r="F1" s="100"/>
      <c r="G1" s="70"/>
      <c r="H1" s="70"/>
      <c r="I1" s="70"/>
      <c r="J1" s="70"/>
      <c r="K1" s="70"/>
    </row>
    <row r="2" spans="1:11" ht="21.75" customHeight="1" x14ac:dyDescent="0.2">
      <c r="A2" s="69"/>
      <c r="B2" s="114"/>
      <c r="C2" s="70"/>
      <c r="D2" s="70"/>
      <c r="E2" s="70"/>
      <c r="F2" s="70"/>
      <c r="G2" s="70"/>
      <c r="H2" s="70"/>
      <c r="I2" s="70"/>
      <c r="J2" s="70"/>
      <c r="K2" s="70"/>
    </row>
    <row r="3" spans="1:11" x14ac:dyDescent="0.2">
      <c r="A3" s="72" t="s">
        <v>67</v>
      </c>
      <c r="B3" s="114"/>
      <c r="C3" s="70"/>
      <c r="D3" s="70"/>
      <c r="E3" s="70"/>
      <c r="F3" s="70"/>
      <c r="G3" s="70"/>
      <c r="H3" s="70"/>
      <c r="I3" s="70"/>
      <c r="J3" s="70"/>
      <c r="K3" s="70"/>
    </row>
    <row r="4" spans="1:11" s="113" customFormat="1" x14ac:dyDescent="0.2">
      <c r="A4" s="112" t="s">
        <v>112</v>
      </c>
      <c r="B4" s="115" t="s">
        <v>113</v>
      </c>
      <c r="C4" s="112" t="s">
        <v>73</v>
      </c>
      <c r="D4" s="112" t="s">
        <v>74</v>
      </c>
      <c r="E4" s="112" t="s">
        <v>75</v>
      </c>
      <c r="F4" s="112" t="s">
        <v>130</v>
      </c>
    </row>
    <row r="5" spans="1:11" x14ac:dyDescent="0.2">
      <c r="A5" s="116"/>
      <c r="B5" s="99"/>
      <c r="C5" s="100"/>
      <c r="D5" s="98"/>
      <c r="E5" s="98"/>
      <c r="F5" s="100"/>
      <c r="G5" s="70"/>
      <c r="H5" s="70"/>
      <c r="I5" s="70"/>
      <c r="J5" s="70"/>
      <c r="K5" s="70"/>
    </row>
    <row r="6" spans="1:11" x14ac:dyDescent="0.2">
      <c r="A6" s="116"/>
      <c r="B6" s="99"/>
      <c r="C6" s="100"/>
      <c r="D6" s="98"/>
      <c r="E6" s="98"/>
      <c r="F6" s="100"/>
      <c r="G6" s="70"/>
      <c r="H6" s="70"/>
      <c r="I6" s="70"/>
      <c r="J6" s="70"/>
      <c r="K6" s="70"/>
    </row>
    <row r="7" spans="1:11" x14ac:dyDescent="0.2">
      <c r="A7" s="116"/>
      <c r="B7" s="99"/>
      <c r="C7" s="100"/>
      <c r="D7" s="98"/>
      <c r="E7" s="98"/>
      <c r="F7" s="100"/>
      <c r="G7" s="70"/>
      <c r="H7" s="70"/>
      <c r="I7" s="70"/>
      <c r="J7" s="70"/>
      <c r="K7" s="70"/>
    </row>
    <row r="8" spans="1:11" x14ac:dyDescent="0.2">
      <c r="A8" s="116"/>
      <c r="B8" s="99"/>
      <c r="C8" s="100"/>
      <c r="D8" s="98"/>
      <c r="E8" s="98"/>
      <c r="F8" s="100"/>
      <c r="G8" s="70"/>
      <c r="H8" s="70"/>
      <c r="I8" s="70"/>
      <c r="J8" s="70"/>
      <c r="K8" s="70"/>
    </row>
    <row r="9" spans="1:11" x14ac:dyDescent="0.2">
      <c r="A9" s="116"/>
      <c r="B9" s="99"/>
      <c r="C9" s="100"/>
      <c r="D9" s="98"/>
      <c r="E9" s="98"/>
      <c r="F9" s="100"/>
      <c r="G9" s="70"/>
      <c r="H9" s="70"/>
      <c r="I9" s="70"/>
      <c r="J9" s="70"/>
      <c r="K9" s="70"/>
    </row>
    <row r="10" spans="1:11" x14ac:dyDescent="0.2">
      <c r="A10" s="116"/>
      <c r="B10" s="99"/>
      <c r="C10" s="100"/>
      <c r="D10" s="98"/>
      <c r="E10" s="98"/>
      <c r="F10" s="100"/>
      <c r="G10" s="70"/>
      <c r="H10" s="70"/>
      <c r="I10" s="70"/>
      <c r="J10" s="70"/>
      <c r="K10" s="70"/>
    </row>
    <row r="11" spans="1:11" x14ac:dyDescent="0.2">
      <c r="A11" s="116"/>
      <c r="B11" s="99"/>
      <c r="C11" s="100"/>
      <c r="D11" s="98"/>
      <c r="E11" s="98"/>
      <c r="F11" s="100"/>
      <c r="G11" s="70"/>
      <c r="H11" s="70"/>
      <c r="I11" s="70"/>
      <c r="J11" s="70"/>
      <c r="K11" s="70"/>
    </row>
    <row r="12" spans="1:11" x14ac:dyDescent="0.2">
      <c r="A12" s="116"/>
      <c r="B12" s="99"/>
      <c r="C12" s="100"/>
      <c r="D12" s="98"/>
      <c r="E12" s="98"/>
      <c r="F12" s="100"/>
      <c r="G12" s="70"/>
      <c r="H12" s="70"/>
      <c r="I12" s="70"/>
      <c r="J12" s="70"/>
      <c r="K12" s="70"/>
    </row>
    <row r="13" spans="1:11" x14ac:dyDescent="0.2">
      <c r="A13" s="116"/>
      <c r="B13" s="99"/>
      <c r="C13" s="100"/>
      <c r="D13" s="98"/>
      <c r="E13" s="98"/>
      <c r="F13" s="100"/>
      <c r="G13" s="70"/>
      <c r="H13" s="70"/>
      <c r="I13" s="70"/>
      <c r="J13" s="70"/>
      <c r="K13" s="70"/>
    </row>
    <row r="14" spans="1:11" x14ac:dyDescent="0.2">
      <c r="A14" s="116"/>
      <c r="B14" s="99"/>
      <c r="C14" s="100"/>
      <c r="D14" s="98"/>
      <c r="E14" s="98"/>
      <c r="F14" s="100"/>
      <c r="G14" s="70"/>
      <c r="H14" s="70"/>
      <c r="I14" s="70"/>
      <c r="J14" s="70"/>
      <c r="K14" s="70"/>
    </row>
  </sheetData>
  <phoneticPr fontId="5" type="noConversion"/>
  <conditionalFormatting sqref="C1">
    <cfRule type="cellIs" dxfId="3" priority="597" stopIfTrue="1" operator="equal">
      <formula>#REF!</formula>
    </cfRule>
  </conditionalFormatting>
  <conditionalFormatting sqref="F1">
    <cfRule type="cellIs" dxfId="2" priority="596" stopIfTrue="1" operator="equal">
      <formula>#REF!</formula>
    </cfRule>
  </conditionalFormatting>
  <conditionalFormatting sqref="C5:C14">
    <cfRule type="cellIs" dxfId="1" priority="2" stopIfTrue="1" operator="equal">
      <formula>#REF!</formula>
    </cfRule>
  </conditionalFormatting>
  <conditionalFormatting sqref="F5:F14">
    <cfRule type="cellIs" dxfId="0" priority="1" stopIfTrue="1" operator="equal">
      <formula>#REF!</formula>
    </cfRule>
  </conditionalFormatting>
  <dataValidations count="1">
    <dataValidation type="list" allowBlank="1" showInputMessage="1" showErrorMessage="1" sqref="D1 D5:D14">
      <formula1>Conformité</formula1>
    </dataValidation>
  </dataValidations>
  <printOptions horizontalCentered="1"/>
  <pageMargins left="0" right="0" top="0.35433070866141736" bottom="0.39370078740157483" header="0.31496062992125984" footer="0.15748031496062992"/>
  <pageSetup paperSize="9" scale="91" orientation="landscape" verticalDpi="300" r:id="rId1"/>
  <headerFooter alignWithMargins="0">
    <oddHeader>&amp;L&amp;G&amp;R
&amp;F</oddHeader>
    <oddFooter>&amp;LRef_Exigences / 1.60 / mars16&amp;CInterne Orange Applications for Business&amp;R&amp;P/&amp;N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extract_synthese">
                <anchor moveWithCells="1">
                  <from>
                    <xdr:col>1</xdr:col>
                    <xdr:colOff>1781175</xdr:colOff>
                    <xdr:row>1</xdr:row>
                    <xdr:rowOff>85725</xdr:rowOff>
                  </from>
                  <to>
                    <xdr:col>1</xdr:col>
                    <xdr:colOff>3467100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histo_stat">
    <pageSetUpPr fitToPage="1"/>
  </sheetPr>
  <dimension ref="B3:E11"/>
  <sheetViews>
    <sheetView showGridLines="0" zoomScaleNormal="100" workbookViewId="0">
      <selection activeCell="C8" sqref="C8"/>
    </sheetView>
  </sheetViews>
  <sheetFormatPr baseColWidth="10" defaultRowHeight="12.75" x14ac:dyDescent="0.2"/>
  <cols>
    <col min="2" max="2" width="19" bestFit="1" customWidth="1"/>
    <col min="3" max="5" width="18.140625" customWidth="1"/>
  </cols>
  <sheetData>
    <row r="3" spans="2:5" ht="18" x14ac:dyDescent="0.25">
      <c r="B3" s="76" t="s">
        <v>80</v>
      </c>
    </row>
    <row r="6" spans="2:5" x14ac:dyDescent="0.2">
      <c r="B6" s="73" t="s">
        <v>114</v>
      </c>
      <c r="C6" s="104" t="s">
        <v>115</v>
      </c>
      <c r="D6" s="119" t="s">
        <v>154</v>
      </c>
      <c r="E6" s="119" t="s">
        <v>155</v>
      </c>
    </row>
    <row r="7" spans="2:5" x14ac:dyDescent="0.2">
      <c r="B7" s="9" t="s">
        <v>107</v>
      </c>
      <c r="C7" s="102" t="e">
        <f>COUNTIF(Fonctionnelle!I:I,B7)+COUNTIF(#REF!,B7)+COUNTIF(#REF!,B7)+COUNTIF(#REF!,B7)+COUNTIF(UI!I:I,B7)+COUNTIF(Organisationnelle!I:I,B7)+COUNTIF(Technique!I:I,B7)+COUNTIF(Contrainte!I:I,B7)</f>
        <v>#REF!</v>
      </c>
      <c r="D7" s="102">
        <v>6</v>
      </c>
      <c r="E7" s="102">
        <v>0</v>
      </c>
    </row>
    <row r="8" spans="2:5" x14ac:dyDescent="0.2">
      <c r="B8" s="154" t="s">
        <v>153</v>
      </c>
      <c r="C8" s="102" t="e">
        <f>COUNTIF(Fonctionnelle!I:I,B8)+COUNTIF(#REF!,B8)+COUNTIF(#REF!,B8)+COUNTIF(#REF!,B8)+COUNTIF(UI!I:I,B8)+COUNTIF(Organisationnelle!I:I,B8)+COUNTIF(Technique!I:I,B8)+COUNTIF(Contrainte!I:I,B8)</f>
        <v>#REF!</v>
      </c>
      <c r="D8" s="102">
        <v>344</v>
      </c>
      <c r="E8" s="102">
        <v>43</v>
      </c>
    </row>
    <row r="9" spans="2:5" x14ac:dyDescent="0.2">
      <c r="B9" s="9" t="s">
        <v>19</v>
      </c>
      <c r="C9" s="102" t="e">
        <f>COUNTIF(Fonctionnelle!I:I,B9)+COUNTIF(#REF!,B9)+COUNTIF(#REF!,B9)+COUNTIF(#REF!,B9)+COUNTIF(UI!I:I,B9)+COUNTIF(Organisationnelle!I:I,B9)+COUNTIF(Technique!I:I,B9)+COUNTIF(Contrainte!I:I,B9)</f>
        <v>#REF!</v>
      </c>
      <c r="D9" s="102">
        <v>0</v>
      </c>
      <c r="E9" s="102">
        <v>299</v>
      </c>
    </row>
    <row r="10" spans="2:5" x14ac:dyDescent="0.2">
      <c r="B10" s="9" t="s">
        <v>20</v>
      </c>
      <c r="C10" s="102" t="e">
        <f>COUNTIF(Fonctionnelle!I:I,B10)+COUNTIF(#REF!,B10)+COUNTIF(#REF!,B10)+COUNTIF(#REF!,B10)+COUNTIF(UI!I:I,B10)+COUNTIF(Organisationnelle!I:I,B10)+COUNTIF(Technique!I:I,B10)+COUNTIF(Contrainte!I:I,B10)</f>
        <v>#REF!</v>
      </c>
      <c r="D10" s="102">
        <v>0</v>
      </c>
      <c r="E10" s="102">
        <v>9</v>
      </c>
    </row>
    <row r="11" spans="2:5" x14ac:dyDescent="0.2">
      <c r="B11" s="75" t="s">
        <v>79</v>
      </c>
      <c r="C11" s="103" t="e">
        <f>SUM(C7:C10)</f>
        <v>#REF!</v>
      </c>
      <c r="D11" s="103">
        <v>350</v>
      </c>
      <c r="E11" s="103">
        <v>351</v>
      </c>
    </row>
  </sheetData>
  <phoneticPr fontId="5" type="noConversion"/>
  <printOptions horizontalCentered="1" verticalCentered="1"/>
  <pageMargins left="0" right="0" top="0.35433070866141736" bottom="0.62992125984251968" header="0.31496062992125984" footer="0.15748031496062992"/>
  <pageSetup paperSize="9" orientation="landscape" horizontalDpi="300" verticalDpi="300" r:id="rId1"/>
  <headerFooter alignWithMargins="0">
    <oddHeader>&amp;L&amp;G&amp;R
&amp;F</oddHeader>
    <oddFooter>&amp;LRef_Exigences / 1.60 / mars16&amp;CInterne Orange Applications for Business&amp;R&amp;P/&amp;N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5" r:id="rId5" name="Button 5">
              <controlPr defaultSize="0" print="0" autoFill="0" autoPict="0" macro="[0]!histo">
                <anchor moveWithCells="1">
                  <from>
                    <xdr:col>1829</xdr:col>
                    <xdr:colOff>228600</xdr:colOff>
                    <xdr:row>5454</xdr:row>
                    <xdr:rowOff>47625</xdr:rowOff>
                  </from>
                  <to>
                    <xdr:col>1833</xdr:col>
                    <xdr:colOff>476250</xdr:colOff>
                    <xdr:row>5455</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parametre"/>
  <dimension ref="A1:H6"/>
  <sheetViews>
    <sheetView workbookViewId="0">
      <selection activeCell="E10" sqref="E10"/>
    </sheetView>
  </sheetViews>
  <sheetFormatPr baseColWidth="10" defaultRowHeight="12.75" x14ac:dyDescent="0.2"/>
  <cols>
    <col min="1" max="1" width="17.42578125" customWidth="1"/>
    <col min="2" max="2" width="6.7109375" bestFit="1" customWidth="1"/>
    <col min="3" max="3" width="12" customWidth="1"/>
    <col min="4" max="4" width="20.140625" customWidth="1"/>
    <col min="5" max="5" width="19" bestFit="1" customWidth="1"/>
    <col min="6" max="6" width="15.42578125" customWidth="1"/>
    <col min="8" max="8" width="14" bestFit="1" customWidth="1"/>
  </cols>
  <sheetData>
    <row r="1" spans="1:8" ht="13.5" thickBot="1" x14ac:dyDescent="0.25">
      <c r="B1" s="2" t="s">
        <v>29</v>
      </c>
      <c r="C1" s="2" t="s">
        <v>21</v>
      </c>
      <c r="D1" s="2" t="s">
        <v>74</v>
      </c>
      <c r="E1" s="2" t="s">
        <v>22</v>
      </c>
      <c r="F1" s="2" t="s">
        <v>48</v>
      </c>
      <c r="H1" s="2" t="s">
        <v>97</v>
      </c>
    </row>
    <row r="2" spans="1:8" x14ac:dyDescent="0.2">
      <c r="A2" s="21" t="s">
        <v>23</v>
      </c>
      <c r="B2" s="22" t="s">
        <v>24</v>
      </c>
      <c r="C2" s="6" t="s">
        <v>16</v>
      </c>
      <c r="D2" s="74" t="s">
        <v>76</v>
      </c>
      <c r="E2" s="3" t="s">
        <v>107</v>
      </c>
      <c r="F2" s="59" t="s">
        <v>49</v>
      </c>
      <c r="G2" s="57" t="s">
        <v>53</v>
      </c>
      <c r="H2" s="3" t="s">
        <v>98</v>
      </c>
    </row>
    <row r="3" spans="1:8" x14ac:dyDescent="0.2">
      <c r="A3" s="21"/>
      <c r="B3" s="22"/>
      <c r="C3" s="144"/>
      <c r="D3" s="145"/>
      <c r="E3" s="149" t="s">
        <v>153</v>
      </c>
      <c r="F3" s="147"/>
      <c r="G3" s="148"/>
      <c r="H3" s="146"/>
    </row>
    <row r="4" spans="1:8" ht="13.5" thickBot="1" x14ac:dyDescent="0.25">
      <c r="A4" s="19" t="s">
        <v>6</v>
      </c>
      <c r="B4" s="20" t="s">
        <v>25</v>
      </c>
      <c r="C4" s="7" t="s">
        <v>17</v>
      </c>
      <c r="D4" s="4" t="s">
        <v>77</v>
      </c>
      <c r="E4" s="4" t="s">
        <v>19</v>
      </c>
      <c r="F4" s="60" t="s">
        <v>47</v>
      </c>
      <c r="G4" s="58" t="s">
        <v>54</v>
      </c>
      <c r="H4" s="4" t="s">
        <v>99</v>
      </c>
    </row>
    <row r="5" spans="1:8" ht="13.5" thickBot="1" x14ac:dyDescent="0.25">
      <c r="A5" s="17" t="s">
        <v>26</v>
      </c>
      <c r="B5" s="18" t="s">
        <v>27</v>
      </c>
      <c r="C5" s="8" t="s">
        <v>18</v>
      </c>
      <c r="D5" s="5" t="s">
        <v>78</v>
      </c>
      <c r="E5" s="4" t="s">
        <v>20</v>
      </c>
      <c r="H5" s="5" t="s">
        <v>100</v>
      </c>
    </row>
    <row r="6" spans="1:8" ht="13.5" thickBot="1" x14ac:dyDescent="0.25">
      <c r="A6" s="15" t="s">
        <v>7</v>
      </c>
      <c r="B6" s="16" t="s">
        <v>28</v>
      </c>
      <c r="E6" s="4"/>
    </row>
  </sheetData>
  <phoneticPr fontId="5" type="noConversion"/>
  <pageMargins left="0.78740157499999996" right="0.78740157499999996" top="0.984251969" bottom="0.984251969" header="0.4921259845" footer="0.4921259845"/>
  <pageSetup paperSize="9" scale="85" orientation="landscape" r:id="rId1"/>
  <headerFooter alignWithMargins="0">
    <oddHeader>&amp;L&amp;G&amp;R
&amp;F</oddHeader>
    <oddFooter>&amp;LRef_Exigences / 1.60 / mars16&amp;CInterne Orange Applications for Business&amp;R&amp;P/&amp;N</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versionnig">
    <pageSetUpPr fitToPage="1"/>
  </sheetPr>
  <dimension ref="B2:E20"/>
  <sheetViews>
    <sheetView showGridLines="0" topLeftCell="A13" workbookViewId="0">
      <selection activeCell="E20" sqref="E20"/>
    </sheetView>
  </sheetViews>
  <sheetFormatPr baseColWidth="10" defaultRowHeight="12.75" x14ac:dyDescent="0.2"/>
  <cols>
    <col min="1" max="1" width="2.85546875" style="79" customWidth="1"/>
    <col min="2" max="2" width="15.140625" style="79" customWidth="1"/>
    <col min="3" max="3" width="17.5703125" style="79" customWidth="1"/>
    <col min="4" max="4" width="33.140625" style="78" customWidth="1"/>
    <col min="5" max="5" width="63.42578125" style="79" bestFit="1" customWidth="1"/>
    <col min="6" max="16384" width="11.42578125" style="79"/>
  </cols>
  <sheetData>
    <row r="2" spans="2:5" x14ac:dyDescent="0.2">
      <c r="B2" s="77"/>
      <c r="C2" s="77"/>
    </row>
    <row r="3" spans="2:5" ht="15" x14ac:dyDescent="0.2">
      <c r="B3" s="251" t="s">
        <v>81</v>
      </c>
      <c r="C3" s="251"/>
      <c r="D3" s="251"/>
      <c r="E3" s="251"/>
    </row>
    <row r="4" spans="2:5" x14ac:dyDescent="0.2">
      <c r="B4" s="80" t="s">
        <v>82</v>
      </c>
      <c r="C4" s="80" t="s">
        <v>51</v>
      </c>
      <c r="D4" s="80" t="s">
        <v>83</v>
      </c>
      <c r="E4" s="81" t="s">
        <v>52</v>
      </c>
    </row>
    <row r="5" spans="2:5" x14ac:dyDescent="0.2">
      <c r="B5" s="83" t="s">
        <v>50</v>
      </c>
      <c r="C5" s="84">
        <v>39343</v>
      </c>
      <c r="D5" s="83" t="s">
        <v>86</v>
      </c>
      <c r="E5" s="82" t="s">
        <v>85</v>
      </c>
    </row>
    <row r="6" spans="2:5" x14ac:dyDescent="0.2">
      <c r="B6" s="83" t="s">
        <v>87</v>
      </c>
      <c r="C6" s="84">
        <v>39429</v>
      </c>
      <c r="D6" s="83" t="s">
        <v>89</v>
      </c>
      <c r="E6" s="82" t="s">
        <v>88</v>
      </c>
    </row>
    <row r="7" spans="2:5" x14ac:dyDescent="0.2">
      <c r="B7" s="83" t="s">
        <v>90</v>
      </c>
      <c r="C7" s="84">
        <v>39492</v>
      </c>
      <c r="D7" s="83" t="s">
        <v>89</v>
      </c>
      <c r="E7" s="82" t="s">
        <v>91</v>
      </c>
    </row>
    <row r="8" spans="2:5" x14ac:dyDescent="0.2">
      <c r="B8" s="83" t="s">
        <v>84</v>
      </c>
      <c r="C8" s="84">
        <v>39623</v>
      </c>
      <c r="D8" s="83" t="s">
        <v>89</v>
      </c>
      <c r="E8" s="82" t="s">
        <v>92</v>
      </c>
    </row>
    <row r="9" spans="2:5" x14ac:dyDescent="0.2">
      <c r="B9" s="83" t="s">
        <v>65</v>
      </c>
      <c r="C9" s="84">
        <v>39832</v>
      </c>
      <c r="D9" s="83" t="s">
        <v>89</v>
      </c>
      <c r="E9" s="82" t="s">
        <v>93</v>
      </c>
    </row>
    <row r="10" spans="2:5" ht="89.25" x14ac:dyDescent="0.2">
      <c r="B10" s="83" t="s">
        <v>102</v>
      </c>
      <c r="C10" s="84">
        <v>39902</v>
      </c>
      <c r="D10" s="83" t="s">
        <v>89</v>
      </c>
      <c r="E10" s="97" t="s">
        <v>103</v>
      </c>
    </row>
    <row r="11" spans="2:5" ht="25.5" x14ac:dyDescent="0.2">
      <c r="B11" s="83" t="s">
        <v>104</v>
      </c>
      <c r="C11" s="84">
        <v>39972</v>
      </c>
      <c r="D11" s="83" t="s">
        <v>89</v>
      </c>
      <c r="E11" s="107" t="s">
        <v>131</v>
      </c>
    </row>
    <row r="12" spans="2:5" ht="25.5" x14ac:dyDescent="0.2">
      <c r="B12" s="83" t="s">
        <v>105</v>
      </c>
      <c r="C12" s="84">
        <v>40337</v>
      </c>
      <c r="D12" s="83" t="s">
        <v>106</v>
      </c>
      <c r="E12" s="107" t="s">
        <v>132</v>
      </c>
    </row>
    <row r="13" spans="2:5" ht="76.5" x14ac:dyDescent="0.2">
      <c r="B13" s="83" t="s">
        <v>109</v>
      </c>
      <c r="C13" s="84">
        <v>40442</v>
      </c>
      <c r="D13" s="83" t="s">
        <v>106</v>
      </c>
      <c r="E13" s="97" t="s">
        <v>116</v>
      </c>
    </row>
    <row r="14" spans="2:5" x14ac:dyDescent="0.2">
      <c r="B14" s="83" t="s">
        <v>117</v>
      </c>
      <c r="C14" s="84">
        <v>40590</v>
      </c>
      <c r="D14" s="83" t="s">
        <v>118</v>
      </c>
      <c r="E14" s="107" t="s">
        <v>119</v>
      </c>
    </row>
    <row r="15" spans="2:5" ht="25.5" x14ac:dyDescent="0.2">
      <c r="B15" s="83" t="s">
        <v>121</v>
      </c>
      <c r="C15" s="84">
        <v>40632</v>
      </c>
      <c r="D15" s="83" t="s">
        <v>118</v>
      </c>
      <c r="E15" s="97" t="s">
        <v>122</v>
      </c>
    </row>
    <row r="16" spans="2:5" ht="63.75" x14ac:dyDescent="0.2">
      <c r="B16" s="83" t="s">
        <v>125</v>
      </c>
      <c r="C16" s="110">
        <v>40700</v>
      </c>
      <c r="D16" s="83" t="s">
        <v>118</v>
      </c>
      <c r="E16" s="107" t="s">
        <v>133</v>
      </c>
    </row>
    <row r="17" spans="2:5" ht="38.25" x14ac:dyDescent="0.2">
      <c r="B17" s="83" t="s">
        <v>134</v>
      </c>
      <c r="C17" s="110">
        <v>41325</v>
      </c>
      <c r="D17" s="83" t="s">
        <v>135</v>
      </c>
      <c r="E17" s="107" t="s">
        <v>136</v>
      </c>
    </row>
    <row r="18" spans="2:5" x14ac:dyDescent="0.2">
      <c r="B18" s="83" t="s">
        <v>137</v>
      </c>
      <c r="C18" s="110">
        <v>41887</v>
      </c>
      <c r="D18" s="83" t="s">
        <v>138</v>
      </c>
      <c r="E18" s="107" t="s">
        <v>139</v>
      </c>
    </row>
    <row r="19" spans="2:5" ht="25.5" x14ac:dyDescent="0.2">
      <c r="B19" s="83" t="s">
        <v>144</v>
      </c>
      <c r="C19" s="110">
        <v>42332</v>
      </c>
      <c r="D19" s="83" t="s">
        <v>138</v>
      </c>
      <c r="E19" s="117" t="s">
        <v>145</v>
      </c>
    </row>
    <row r="20" spans="2:5" x14ac:dyDescent="0.2">
      <c r="B20" s="83" t="s">
        <v>149</v>
      </c>
      <c r="C20" s="110">
        <v>42444</v>
      </c>
      <c r="D20" s="83" t="s">
        <v>138</v>
      </c>
      <c r="E20" s="117" t="s">
        <v>150</v>
      </c>
    </row>
  </sheetData>
  <mergeCells count="1">
    <mergeCell ref="B3:E3"/>
  </mergeCells>
  <phoneticPr fontId="9" type="noConversion"/>
  <pageMargins left="0.78740157480314965" right="0.39370078740157483" top="0.36" bottom="0.63" header="0.31496062992125984" footer="0.17"/>
  <pageSetup paperSize="9" scale="69" firstPageNumber="0" orientation="portrait" horizontalDpi="300" verticalDpi="300" r:id="rId1"/>
  <headerFooter alignWithMargins="0">
    <oddHeader>&amp;L&amp;G&amp;R
&amp;F</oddHeader>
    <oddFooter>&amp;LRef_Exigences / 1.60 / mars16&amp;CInterne Orange Applications for Business&amp;R&amp;P/&amp;N</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4EBAAEC775B44478D2690DC00EAAD8D" ma:contentTypeVersion="" ma:contentTypeDescription="Crée un document." ma:contentTypeScope="" ma:versionID="4f9888ba2be5403e4dfd748fc90492b4">
  <xsd:schema xmlns:xsd="http://www.w3.org/2001/XMLSchema" xmlns:xs="http://www.w3.org/2001/XMLSchema" xmlns:p="http://schemas.microsoft.com/office/2006/metadata/properties" targetNamespace="http://schemas.microsoft.com/office/2006/metadata/properties" ma:root="true" ma:fieldsID="2fe88fd3cce7a27a3feecc1959e645e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FA065F7-633D-41AC-9111-FC87DD1C06D2}">
  <ds:schemaRefs>
    <ds:schemaRef ds:uri="http://schemas.microsoft.com/sharepoint/v3/contenttype/forms"/>
  </ds:schemaRefs>
</ds:datastoreItem>
</file>

<file path=customXml/itemProps2.xml><?xml version="1.0" encoding="utf-8"?>
<ds:datastoreItem xmlns:ds="http://schemas.openxmlformats.org/officeDocument/2006/customXml" ds:itemID="{E715C49E-460E-4B68-BF3A-A6E6D9D3B4E2}">
  <ds:schemaRefs>
    <ds:schemaRef ds:uri="http://schemas.microsoft.com/office/2006/metadata/longProperties"/>
  </ds:schemaRefs>
</ds:datastoreItem>
</file>

<file path=customXml/itemProps3.xml><?xml version="1.0" encoding="utf-8"?>
<ds:datastoreItem xmlns:ds="http://schemas.openxmlformats.org/officeDocument/2006/customXml" ds:itemID="{F1771F84-FEA5-4E57-9CBA-56F46D3A89EF}">
  <ds:schemaRefs>
    <ds:schemaRef ds:uri="http://purl.org/dc/dcmitype/"/>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http://purl.org/dc/term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86A5F1D7-9ED8-4C2A-B0E2-FD5F5284A3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49</vt:i4>
      </vt:variant>
    </vt:vector>
  </HeadingPairs>
  <TitlesOfParts>
    <vt:vector size="60" baseType="lpstr">
      <vt:lpstr>Read me</vt:lpstr>
      <vt:lpstr>Prop_Ref</vt:lpstr>
      <vt:lpstr>Organisationnelle</vt:lpstr>
      <vt:lpstr>Fonctionnelle</vt:lpstr>
      <vt:lpstr>UI</vt:lpstr>
      <vt:lpstr>Technique</vt:lpstr>
      <vt:lpstr>Contrainte</vt:lpstr>
      <vt:lpstr>Synthèse</vt:lpstr>
      <vt:lpstr>Historique Statistiques </vt:lpstr>
      <vt:lpstr>Paramètres</vt:lpstr>
      <vt:lpstr>Historique du modèle</vt:lpstr>
      <vt:lpstr>Atraiter</vt:lpstr>
      <vt:lpstr>Contrainte!cdc_exig</vt:lpstr>
      <vt:lpstr>Fonctionnelle!cdc_exig</vt:lpstr>
      <vt:lpstr>Organisationnelle!cdc_exig</vt:lpstr>
      <vt:lpstr>Technique!cdc_exig</vt:lpstr>
      <vt:lpstr>Contrainte!conf_exig</vt:lpstr>
      <vt:lpstr>Fonctionnelle!conf_exig</vt:lpstr>
      <vt:lpstr>Organisationnelle!conf_exig</vt:lpstr>
      <vt:lpstr>Technique!conf_exig</vt:lpstr>
      <vt:lpstr>Conformité</vt:lpstr>
      <vt:lpstr>copy_cell</vt:lpstr>
      <vt:lpstr>copy_row</vt:lpstr>
      <vt:lpstr>deb_tb</vt:lpstr>
      <vt:lpstr>Etape</vt:lpstr>
      <vt:lpstr>Etat</vt:lpstr>
      <vt:lpstr>Contrainte!id_exig</vt:lpstr>
      <vt:lpstr>Fonctionnelle!id_exig</vt:lpstr>
      <vt:lpstr>Organisationnelle!id_exig</vt:lpstr>
      <vt:lpstr>Technique!id_exig</vt:lpstr>
      <vt:lpstr>Contrainte!just_exig</vt:lpstr>
      <vt:lpstr>Fonctionnelle!just_exig</vt:lpstr>
      <vt:lpstr>Organisationnelle!just_exig</vt:lpstr>
      <vt:lpstr>Technique!just_exig</vt:lpstr>
      <vt:lpstr>Contrainte!lib_exig</vt:lpstr>
      <vt:lpstr>Fonctionnelle!lib_exig</vt:lpstr>
      <vt:lpstr>Organisationnelle!lib_exig</vt:lpstr>
      <vt:lpstr>Technique!lib_exig</vt:lpstr>
      <vt:lpstr>Priorité</vt:lpstr>
      <vt:lpstr>Contrainte!ptc_exig</vt:lpstr>
      <vt:lpstr>Fonctionnelle!ptc_exig</vt:lpstr>
      <vt:lpstr>Organisationnelle!ptc_exig</vt:lpstr>
      <vt:lpstr>Technique!ptc_exig</vt:lpstr>
      <vt:lpstr>Statut</vt:lpstr>
      <vt:lpstr>syn_cdc_exig</vt:lpstr>
      <vt:lpstr>syn_conf_exig</vt:lpstr>
      <vt:lpstr>syn_id_exig</vt:lpstr>
      <vt:lpstr>syn_just_exig</vt:lpstr>
      <vt:lpstr>syn_lib_exig</vt:lpstr>
      <vt:lpstr>syn_ptc_exig</vt:lpstr>
      <vt:lpstr>Type</vt:lpstr>
      <vt:lpstr>Validation</vt:lpstr>
      <vt:lpstr>Contrainte!Zone_d_impression</vt:lpstr>
      <vt:lpstr>Fonctionnelle!Zone_d_impression</vt:lpstr>
      <vt:lpstr>Organisationnelle!Zone_d_impression</vt:lpstr>
      <vt:lpstr>Prop_Ref!Zone_d_impression</vt:lpstr>
      <vt:lpstr>'Read me'!Zone_d_impression</vt:lpstr>
      <vt:lpstr>Synthèse!Zone_d_impression</vt:lpstr>
      <vt:lpstr>Technique!Zone_d_impression</vt:lpstr>
      <vt:lpstr>UI!Zone_d_impression</vt:lpstr>
    </vt:vector>
  </TitlesOfParts>
  <Company>Orange Business Services Silicomp-AQL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Modele de referentiel des exigences</dc:title>
  <dc:creator>Christian Chesnel</dc:creator>
  <cp:lastModifiedBy>BRUNET CARTEAUX Marie</cp:lastModifiedBy>
  <cp:lastPrinted>2018-04-24T12:04:34Z</cp:lastPrinted>
  <dcterms:created xsi:type="dcterms:W3CDTF">2007-07-23T09:42:18Z</dcterms:created>
  <dcterms:modified xsi:type="dcterms:W3CDTF">2018-04-24T15:55:59Z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lpwstr>24300.0000000000</vt:lpwstr>
  </property>
  <property fmtid="{D5CDD505-2E9C-101B-9397-08002B2CF9AE}" pid="3" name="Sous Processus">
    <vt:lpwstr>je maitrise les exigences</vt:lpwstr>
  </property>
  <property fmtid="{D5CDD505-2E9C-101B-9397-08002B2CF9AE}" pid="4" name="ContentTypeId">
    <vt:lpwstr>0x010100A4EBAAEC775B44478D2690DC00EAAD8D</vt:lpwstr>
  </property>
</Properties>
</file>