
<file path=[Content_Types].xml><?xml version="1.0" encoding="utf-8"?>
<Types xmlns="http://schemas.openxmlformats.org/package/2006/content-types">
  <Default Extension="bin" ContentType="application/vnd.openxmlformats-officedocument.spreadsheetml.printerSettings"/>
  <Default Extension="tmp"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5" yWindow="225" windowWidth="13530" windowHeight="12300" tabRatio="744" activeTab="6"/>
  </bookViews>
  <sheets>
    <sheet name="Read me" sheetId="7" r:id="rId1"/>
    <sheet name="Prop_Ref" sheetId="8" r:id="rId2"/>
    <sheet name="Organisationnelle" sheetId="3" r:id="rId3"/>
    <sheet name="Fonctionnelle Session" sheetId="5" r:id="rId4"/>
    <sheet name="Fonctionnelle Workflow" sheetId="14" r:id="rId5"/>
    <sheet name="Fonctionnelle Stats" sheetId="15" r:id="rId6"/>
    <sheet name="Fonctionnelle Opération" sheetId="17" r:id="rId7"/>
    <sheet name="Fonctionnelle Ticketing" sheetId="19" r:id="rId8"/>
    <sheet name="UI" sheetId="16" r:id="rId9"/>
    <sheet name="Technique" sheetId="4" r:id="rId10"/>
    <sheet name="Contrainte" sheetId="6" r:id="rId11"/>
    <sheet name="Synthèse" sheetId="9" state="hidden" r:id="rId12"/>
    <sheet name="Historique Statistiques " sheetId="12" r:id="rId13"/>
    <sheet name="Paramètres" sheetId="2" state="hidden" r:id="rId14"/>
    <sheet name="Historique du modèle" sheetId="13" state="hidden" r:id="rId15"/>
  </sheets>
  <definedNames>
    <definedName name="_xlnm._FilterDatabase" localSheetId="6" hidden="1">'Fonctionnelle Opération'!$A$7:$T$16</definedName>
    <definedName name="_xlnm._FilterDatabase" localSheetId="3" hidden="1">'Fonctionnelle Session'!$A$5:$Q$62</definedName>
    <definedName name="_xlnm._FilterDatabase" localSheetId="5" hidden="1">'Fonctionnelle Stats'!$A$5:$Q$74</definedName>
    <definedName name="_xlnm._FilterDatabase" localSheetId="7" hidden="1">'Fonctionnelle Ticketing'!$A$7:$T$16</definedName>
    <definedName name="_xlnm._FilterDatabase" localSheetId="4" hidden="1">'Fonctionnelle Workflow'!$A$5:$Q$45</definedName>
    <definedName name="_xlnm._FilterDatabase" localSheetId="2" hidden="1">Organisationnelle!$B$7:$Q$27</definedName>
    <definedName name="_xlnm._FilterDatabase" localSheetId="13" hidden="1">Paramètres!$H$2:$H$5</definedName>
    <definedName name="_xlnm._FilterDatabase" localSheetId="9" hidden="1">Technique!$A$7:$S$59</definedName>
    <definedName name="_xlnm._FilterDatabase" localSheetId="8" hidden="1">UI!$A$7:$S$141</definedName>
    <definedName name="Atraiter">Paramètres!$G$2:$G$4</definedName>
    <definedName name="cdc_exig" localSheetId="10">Contrainte!$P$7</definedName>
    <definedName name="cdc_exig" localSheetId="6">'Fonctionnelle Opération'!$P$7</definedName>
    <definedName name="cdc_exig" localSheetId="3">'Fonctionnelle Session'!$P$7</definedName>
    <definedName name="cdc_exig" localSheetId="5">'Fonctionnelle Stats'!$P$7</definedName>
    <definedName name="cdc_exig" localSheetId="7">'Fonctionnelle Ticketing'!$P$7</definedName>
    <definedName name="cdc_exig" localSheetId="4">'Fonctionnelle Workflow'!$P$7</definedName>
    <definedName name="cdc_exig" localSheetId="2">Organisationnelle!$P$7</definedName>
    <definedName name="cdc_exig" localSheetId="9">Technique!$P$7</definedName>
    <definedName name="cdc_exig" localSheetId="8">UI!#REF!</definedName>
    <definedName name="conf_exig" localSheetId="10">Contrainte!$M$7</definedName>
    <definedName name="conf_exig" localSheetId="6">'Fonctionnelle Opération'!$M$7</definedName>
    <definedName name="conf_exig" localSheetId="3">'Fonctionnelle Session'!$M$7</definedName>
    <definedName name="conf_exig" localSheetId="5">'Fonctionnelle Stats'!$M$7</definedName>
    <definedName name="conf_exig" localSheetId="7">'Fonctionnelle Ticketing'!$M$7</definedName>
    <definedName name="conf_exig" localSheetId="4">'Fonctionnelle Workflow'!$M$7</definedName>
    <definedName name="conf_exig" localSheetId="2">Organisationnelle!$M$7</definedName>
    <definedName name="conf_exig" localSheetId="9">Technique!$M$7</definedName>
    <definedName name="conf_exig" localSheetId="8">UI!#REF!</definedName>
    <definedName name="Conformité">Paramètres!$D$2:$D$5</definedName>
    <definedName name="copy_cell">'Historique Statistiques '!$C$6:$C$11</definedName>
    <definedName name="copy_row">Synthèse!$1:$1</definedName>
    <definedName name="deb_tb">'Historique Statistiques '!$B$6</definedName>
    <definedName name="Etape">Paramètres!$F$2:$F$4</definedName>
    <definedName name="Etat">Paramètres!$E$2:$E$6</definedName>
    <definedName name="id_exig" localSheetId="10">Contrainte!$B$7</definedName>
    <definedName name="id_exig" localSheetId="6">'Fonctionnelle Opération'!$B$7</definedName>
    <definedName name="id_exig" localSheetId="3">'Fonctionnelle Session'!$B$7</definedName>
    <definedName name="id_exig" localSheetId="5">'Fonctionnelle Stats'!$B$7</definedName>
    <definedName name="id_exig" localSheetId="7">'Fonctionnelle Ticketing'!$B$7</definedName>
    <definedName name="id_exig" localSheetId="4">'Fonctionnelle Workflow'!$B$7</definedName>
    <definedName name="id_exig" localSheetId="2">Organisationnelle!$B$7</definedName>
    <definedName name="id_exig" localSheetId="9">Technique!$B$7</definedName>
    <definedName name="id_exig" localSheetId="8">UI!#REF!</definedName>
    <definedName name="just_exig" localSheetId="10">Contrainte!$N$7</definedName>
    <definedName name="just_exig" localSheetId="6">'Fonctionnelle Opération'!$N$7</definedName>
    <definedName name="just_exig" localSheetId="3">'Fonctionnelle Session'!$N$7</definedName>
    <definedName name="just_exig" localSheetId="5">'Fonctionnelle Stats'!$N$7</definedName>
    <definedName name="just_exig" localSheetId="7">'Fonctionnelle Ticketing'!$N$7</definedName>
    <definedName name="just_exig" localSheetId="4">'Fonctionnelle Workflow'!$N$7</definedName>
    <definedName name="just_exig" localSheetId="2">Organisationnelle!$N$7</definedName>
    <definedName name="just_exig" localSheetId="9">Technique!$N$7</definedName>
    <definedName name="just_exig" localSheetId="8">UI!#REF!</definedName>
    <definedName name="lib_exig" localSheetId="10">Contrainte!$C$7</definedName>
    <definedName name="lib_exig" localSheetId="6">'Fonctionnelle Opération'!$C$7</definedName>
    <definedName name="lib_exig" localSheetId="3">'Fonctionnelle Session'!$C$7</definedName>
    <definedName name="lib_exig" localSheetId="5">'Fonctionnelle Stats'!$C$7</definedName>
    <definedName name="lib_exig" localSheetId="7">'Fonctionnelle Ticketing'!$C$7</definedName>
    <definedName name="lib_exig" localSheetId="4">'Fonctionnelle Workflow'!$C$7</definedName>
    <definedName name="lib_exig" localSheetId="2">Organisationnelle!$C$7</definedName>
    <definedName name="lib_exig" localSheetId="9">Technique!$C$7</definedName>
    <definedName name="lib_exig" localSheetId="8">UI!#REF!</definedName>
    <definedName name="Priorité">Paramètres!$C$2:$C$5</definedName>
    <definedName name="ptc_exig" localSheetId="10">Contrainte!$O$7</definedName>
    <definedName name="ptc_exig" localSheetId="6">'Fonctionnelle Opération'!$O$7</definedName>
    <definedName name="ptc_exig" localSheetId="3">'Fonctionnelle Session'!$O$7</definedName>
    <definedName name="ptc_exig" localSheetId="5">'Fonctionnelle Stats'!$O$7</definedName>
    <definedName name="ptc_exig" localSheetId="7">'Fonctionnelle Ticketing'!$O$7</definedName>
    <definedName name="ptc_exig" localSheetId="4">'Fonctionnelle Workflow'!$O$7</definedName>
    <definedName name="ptc_exig" localSheetId="2">Organisationnelle!$O$7</definedName>
    <definedName name="ptc_exig" localSheetId="9">Technique!$O$7</definedName>
    <definedName name="ptc_exig" localSheetId="8">UI!#REF!</definedName>
    <definedName name="Référence" localSheetId="6">Paramètres!#REF!</definedName>
    <definedName name="Référence" localSheetId="5">Paramètres!#REF!</definedName>
    <definedName name="Référence" localSheetId="7">Paramètres!#REF!</definedName>
    <definedName name="Référence" localSheetId="4">Paramètres!#REF!</definedName>
    <definedName name="Référence" localSheetId="8">Paramètres!#REF!</definedName>
    <definedName name="Référence">Paramètres!#REF!</definedName>
    <definedName name="Statut">Paramètres!$F$2:$F$6</definedName>
    <definedName name="syn_cdc_exig">Synthèse!$C$4</definedName>
    <definedName name="syn_conf_exig">Synthèse!$D$4</definedName>
    <definedName name="syn_id_exig">Synthèse!$A$4</definedName>
    <definedName name="syn_just_exig">Synthèse!$E$4</definedName>
    <definedName name="syn_lib_exig">Synthèse!$B$4</definedName>
    <definedName name="syn_ptc_exig">Synthèse!$F$4</definedName>
    <definedName name="Type">Paramètres!$B$2:$B$6</definedName>
    <definedName name="Validation">Paramètres!$H$2:$H$5</definedName>
    <definedName name="_xlnm.Print_Area" localSheetId="10">Contrainte!$A:$Q</definedName>
    <definedName name="_xlnm.Print_Area" localSheetId="6">'Fonctionnelle Opération'!$A:$Q</definedName>
    <definedName name="_xlnm.Print_Area" localSheetId="3">'Fonctionnelle Session'!$A:$Q</definedName>
    <definedName name="_xlnm.Print_Area" localSheetId="5">'Fonctionnelle Stats'!$A:$Q</definedName>
    <definedName name="_xlnm.Print_Area" localSheetId="7">'Fonctionnelle Ticketing'!$A:$Q</definedName>
    <definedName name="_xlnm.Print_Area" localSheetId="4">'Fonctionnelle Workflow'!$A:$Q</definedName>
    <definedName name="_xlnm.Print_Area" localSheetId="2">Organisationnelle!$A:$Q</definedName>
    <definedName name="_xlnm.Print_Area" localSheetId="1">Prop_Ref!$B$1:$E$26</definedName>
    <definedName name="_xlnm.Print_Area" localSheetId="0">'Read me'!$A$1:$C$31</definedName>
    <definedName name="_xlnm.Print_Area" localSheetId="11">Synthèse!$A:$F</definedName>
    <definedName name="_xlnm.Print_Area" localSheetId="9">Technique!$A:$Q</definedName>
    <definedName name="_xlnm.Print_Area" localSheetId="8">UI!$A:$Q</definedName>
  </definedNames>
  <calcPr calcId="145621"/>
</workbook>
</file>

<file path=xl/calcChain.xml><?xml version="1.0" encoding="utf-8"?>
<calcChain xmlns="http://schemas.openxmlformats.org/spreadsheetml/2006/main">
  <c r="A10" i="19" l="1"/>
  <c r="A11" i="19" s="1"/>
  <c r="A12" i="19" s="1"/>
  <c r="A9" i="19"/>
  <c r="C6" i="19"/>
  <c r="B6" i="19"/>
  <c r="D6" i="19" l="1"/>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29" i="14" l="1"/>
  <c r="A30" i="14"/>
  <c r="C9" i="12" l="1"/>
  <c r="C10" i="12"/>
  <c r="C8" i="12"/>
  <c r="C7" i="12"/>
  <c r="A9" i="16"/>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9" i="4"/>
  <c r="A10" i="4"/>
  <c r="A11" i="4"/>
  <c r="A12" i="4"/>
  <c r="A13" i="4"/>
  <c r="A14" i="4"/>
  <c r="A15" i="4"/>
  <c r="A9" i="14"/>
  <c r="A10" i="14"/>
  <c r="A11" i="14" s="1"/>
  <c r="A12" i="14" s="1"/>
  <c r="A13" i="14" s="1"/>
  <c r="A14" i="14" s="1"/>
  <c r="A15" i="14" s="1"/>
  <c r="A16" i="14" s="1"/>
  <c r="A17" i="14" s="1"/>
  <c r="A18" i="14" s="1"/>
  <c r="A19" i="14" s="1"/>
  <c r="A20" i="14" s="1"/>
  <c r="A21" i="14" s="1"/>
  <c r="A22" i="14" s="1"/>
  <c r="A23" i="14" s="1"/>
  <c r="A24" i="14" s="1"/>
  <c r="A25" i="14" s="1"/>
  <c r="A26" i="14" s="1"/>
  <c r="A27" i="14" s="1"/>
  <c r="A28" i="14" s="1"/>
  <c r="A31" i="14" s="1"/>
  <c r="A32" i="14" s="1"/>
  <c r="A33" i="14" s="1"/>
  <c r="A34" i="14" s="1"/>
  <c r="A35" i="14" s="1"/>
  <c r="A36" i="14" s="1"/>
  <c r="A37" i="14" s="1"/>
  <c r="A38" i="14" s="1"/>
  <c r="A39" i="14" s="1"/>
  <c r="A40" i="14" s="1"/>
  <c r="A41" i="14" s="1"/>
  <c r="A42" i="14" s="1"/>
  <c r="A43" i="14" s="1"/>
  <c r="A44" i="14" s="1"/>
  <c r="A45" i="14" s="1"/>
  <c r="A9" i="5"/>
  <c r="A10" i="5"/>
  <c r="A11" i="5" s="1"/>
  <c r="A12" i="5" s="1"/>
  <c r="A13" i="5" s="1"/>
  <c r="A14" i="5" s="1"/>
  <c r="A15" i="5" s="1"/>
  <c r="A16" i="5" s="1"/>
  <c r="A17" i="5" s="1"/>
  <c r="A18" i="5" s="1"/>
  <c r="A19" i="5" s="1"/>
  <c r="A20" i="5" s="1"/>
  <c r="A21" i="5" s="1"/>
  <c r="A22" i="5" s="1"/>
  <c r="A23" i="5" s="1"/>
  <c r="A24" i="5" s="1"/>
  <c r="A25" i="5" s="1"/>
  <c r="A26" i="5" s="1"/>
  <c r="A27" i="5" s="1"/>
  <c r="A28" i="5" s="1"/>
  <c r="A9" i="15"/>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9" i="17"/>
  <c r="A10" i="17"/>
  <c r="A11" i="17"/>
  <c r="C6" i="17"/>
  <c r="B6" i="17"/>
  <c r="A12" i="17"/>
  <c r="D6" i="17"/>
  <c r="C6" i="16"/>
  <c r="B6" i="16"/>
  <c r="C6" i="15"/>
  <c r="B6" i="15"/>
  <c r="C6" i="14"/>
  <c r="B6" i="14"/>
  <c r="D5" i="8"/>
  <c r="C9" i="8" s="1"/>
  <c r="C6" i="5"/>
  <c r="B6" i="5"/>
  <c r="C6" i="3"/>
  <c r="B6" i="3"/>
  <c r="A9" i="6"/>
  <c r="A10" i="6"/>
  <c r="A11" i="6"/>
  <c r="A12" i="6"/>
  <c r="A13" i="6"/>
  <c r="A14" i="6"/>
  <c r="A15" i="6"/>
  <c r="A16" i="6"/>
  <c r="A17" i="6"/>
  <c r="A18" i="6"/>
  <c r="A19" i="6"/>
  <c r="A20" i="6"/>
  <c r="A21" i="6"/>
  <c r="A22" i="6"/>
  <c r="A23" i="6"/>
  <c r="A24" i="6"/>
  <c r="A25" i="6"/>
  <c r="A26" i="6"/>
  <c r="A27" i="6"/>
  <c r="A12" i="3"/>
  <c r="A13" i="3"/>
  <c r="A14" i="3"/>
  <c r="A15" i="3"/>
  <c r="A16" i="3"/>
  <c r="A17" i="3"/>
  <c r="A18" i="3"/>
  <c r="A19" i="3"/>
  <c r="A20" i="3"/>
  <c r="A21" i="3"/>
  <c r="A22" i="3"/>
  <c r="A23" i="3"/>
  <c r="A24" i="3"/>
  <c r="A25" i="3"/>
  <c r="A26" i="3"/>
  <c r="A27" i="3"/>
  <c r="C6" i="6"/>
  <c r="B6" i="6"/>
  <c r="C6" i="4"/>
  <c r="B6" i="4"/>
  <c r="D6" i="6"/>
  <c r="D6" i="3"/>
  <c r="D6" i="4"/>
  <c r="A31" i="5" l="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9" i="5" s="1"/>
  <c r="A60" i="5" s="1"/>
  <c r="A61" i="5" s="1"/>
  <c r="A62" i="5" s="1"/>
  <c r="A29" i="5"/>
  <c r="A30" i="5" s="1"/>
  <c r="D6" i="5"/>
  <c r="D6" i="16"/>
  <c r="A110" i="16"/>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11" i="16"/>
  <c r="D6" i="15"/>
  <c r="D6" i="14"/>
  <c r="C11" i="12"/>
  <c r="A58" i="5" l="1"/>
</calcChain>
</file>

<file path=xl/comments1.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R_ORGA_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comments2.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R_FONC_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comments3.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R_FONC_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comments4.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R_FONC_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comments5.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R_FONC_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comments6.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R_FONC_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comments7.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R_TECH_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comments8.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R_TECH_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comments9.xml><?xml version="1.0" encoding="utf-8"?>
<comments xmlns="http://schemas.openxmlformats.org/spreadsheetml/2006/main">
  <authors>
    <author>Christian Chesnel</author>
    <author>claire</author>
    <author>npn</author>
  </authors>
  <commentList>
    <comment ref="B7" authorId="0">
      <text>
        <r>
          <rPr>
            <sz val="10"/>
            <color indexed="81"/>
            <rFont val="Arial"/>
            <family val="2"/>
          </rPr>
          <t xml:space="preserve">Identifiant créé à partir du préfixe R_CONT_ suivi d'un mot clé et du Numéro de rang </t>
        </r>
        <r>
          <rPr>
            <sz val="8"/>
            <color indexed="81"/>
            <rFont val="Tahoma"/>
            <family val="2"/>
          </rPr>
          <t xml:space="preserve">
</t>
        </r>
      </text>
    </comment>
    <comment ref="C7" authorId="0">
      <text>
        <r>
          <rPr>
            <sz val="10"/>
            <color indexed="81"/>
            <rFont val="Arial"/>
            <family val="2"/>
          </rPr>
          <t>Une exigence contient au plus :
-  un sujet,
-  un prédicat,
-  un verbe,
-  un but ou un résultat désiré,
-  un critère de succès ou une autre indication mesurable de la qualité.</t>
        </r>
      </text>
    </comment>
    <comment ref="D7" authorId="0">
      <text>
        <r>
          <rPr>
            <sz val="10"/>
            <color indexed="81"/>
            <rFont val="Arial"/>
            <family val="2"/>
          </rPr>
          <t>- essentielle
- utile
- souhaitable</t>
        </r>
        <r>
          <rPr>
            <sz val="8"/>
            <color indexed="81"/>
            <rFont val="Tahoma"/>
            <family val="2"/>
          </rPr>
          <t xml:space="preserve">
</t>
        </r>
      </text>
    </comment>
    <comment ref="E7" authorId="1">
      <text>
        <r>
          <rPr>
            <sz val="10"/>
            <color indexed="81"/>
            <rFont val="Arial"/>
            <family val="2"/>
          </rPr>
          <t xml:space="preserve">Identification du composant (module, use case, fonction)  sur lequel l’exigence s'applique
</t>
        </r>
      </text>
    </comment>
    <comment ref="F7" authorId="2">
      <text>
        <r>
          <rPr>
            <sz val="10"/>
            <color indexed="81"/>
            <rFont val="Arial"/>
            <family val="2"/>
          </rPr>
          <t>N° de la version logicielle ou N° de l'itération dans laquelle l'exigence va être prise en compte</t>
        </r>
        <r>
          <rPr>
            <sz val="8"/>
            <color indexed="81"/>
            <rFont val="Tahoma"/>
            <family val="2"/>
          </rPr>
          <t xml:space="preserve">
 </t>
        </r>
      </text>
    </comment>
    <comment ref="G7" authorId="2">
      <text>
        <r>
          <rPr>
            <sz val="10"/>
            <color indexed="81"/>
            <rFont val="Arial"/>
            <family val="2"/>
          </rPr>
          <t xml:space="preserve">Aide à l'ordonnancement des développements 
</t>
        </r>
        <r>
          <rPr>
            <b/>
            <sz val="10"/>
            <color indexed="81"/>
            <rFont val="Arial"/>
            <family val="2"/>
          </rPr>
          <t>priorité 1</t>
        </r>
        <r>
          <rPr>
            <sz val="10"/>
            <color indexed="81"/>
            <rFont val="Arial"/>
            <family val="2"/>
          </rPr>
          <t xml:space="preserve"> : socle de l'application - à réaliser en priorité
</t>
        </r>
        <r>
          <rPr>
            <b/>
            <sz val="10"/>
            <color indexed="81"/>
            <rFont val="Arial"/>
            <family val="2"/>
          </rPr>
          <t>priorité 2</t>
        </r>
        <r>
          <rPr>
            <sz val="10"/>
            <color indexed="81"/>
            <rFont val="Arial"/>
            <family val="2"/>
          </rPr>
          <t xml:space="preserve"> : A développer lorsque les exigences de priorité 1 sont finalisées
</t>
        </r>
        <r>
          <rPr>
            <b/>
            <sz val="10"/>
            <color indexed="81"/>
            <rFont val="Arial"/>
            <family val="2"/>
          </rPr>
          <t>priorité 3</t>
        </r>
        <r>
          <rPr>
            <sz val="10"/>
            <color indexed="81"/>
            <rFont val="Arial"/>
            <family val="2"/>
          </rPr>
          <t xml:space="preserve"> : à réaliser en fin de phase de développement</t>
        </r>
      </text>
    </comment>
    <comment ref="H7" authorId="2">
      <text>
        <r>
          <rPr>
            <sz val="10"/>
            <color indexed="81"/>
            <rFont val="Arial"/>
            <family val="2"/>
          </rPr>
          <t xml:space="preserve">Complexité de développement :
- </t>
        </r>
        <r>
          <rPr>
            <b/>
            <sz val="10"/>
            <color indexed="81"/>
            <rFont val="Arial"/>
            <family val="2"/>
          </rPr>
          <t>Complexe</t>
        </r>
        <r>
          <rPr>
            <sz val="10"/>
            <color indexed="81"/>
            <rFont val="Arial"/>
            <family val="2"/>
          </rPr>
          <t xml:space="preserve"> : développement long et / ou nécessitant une  expertise technique et fonctionnelle
- </t>
        </r>
        <r>
          <rPr>
            <b/>
            <sz val="10"/>
            <color indexed="81"/>
            <rFont val="Arial"/>
            <family val="2"/>
          </rPr>
          <t>Normal</t>
        </r>
        <r>
          <rPr>
            <sz val="10"/>
            <color indexed="81"/>
            <rFont val="Arial"/>
            <family val="2"/>
          </rPr>
          <t xml:space="preserve">  : développement nécessitant une bonne compétence fonctionnelle
- </t>
        </r>
        <r>
          <rPr>
            <b/>
            <sz val="10"/>
            <color indexed="81"/>
            <rFont val="Arial"/>
            <family val="2"/>
          </rPr>
          <t>Simple</t>
        </r>
        <r>
          <rPr>
            <sz val="10"/>
            <color indexed="81"/>
            <rFont val="Arial"/>
            <family val="2"/>
          </rPr>
          <t xml:space="preserve"> : développement court et / ou ne nécessitant pas de compétence spécifique</t>
        </r>
      </text>
    </comment>
    <comment ref="I7" authorId="0">
      <text>
        <r>
          <rPr>
            <sz val="10"/>
            <color indexed="81"/>
            <rFont val="Arial"/>
            <family val="2"/>
          </rPr>
          <t>- en cours : Exigence proposée par une partie prenante et en cours de définition
- approuvée : Exigence à implémenter
- rejetée : Exigence refusée</t>
        </r>
      </text>
    </comment>
    <comment ref="J7" authorId="0">
      <text>
        <r>
          <rPr>
            <sz val="10"/>
            <color indexed="81"/>
            <rFont val="Arial"/>
            <family val="2"/>
          </rPr>
          <t xml:space="preserve">A chaque modification de l'exigence, ce numéro s'incrémente
</t>
        </r>
      </text>
    </comment>
    <comment ref="K7" authorId="0">
      <text>
        <r>
          <rPr>
            <sz val="10"/>
            <color indexed="81"/>
            <rFont val="Arial"/>
            <family val="2"/>
          </rPr>
          <t>Pour chaque modification, indiquer le § d'un document expliquant cette modification</t>
        </r>
        <r>
          <rPr>
            <sz val="8"/>
            <color indexed="81"/>
            <rFont val="Tahoma"/>
            <family val="2"/>
          </rPr>
          <t xml:space="preserve">
</t>
        </r>
      </text>
    </comment>
    <comment ref="L7" authorId="0">
      <text>
        <r>
          <rPr>
            <sz val="10"/>
            <color indexed="81"/>
            <rFont val="Arial"/>
            <family val="2"/>
          </rPr>
          <t>Indiquer l'identifiant des exigences avec lesquelles cette exigence est liée afin de faciliter l'analyse d'impact en cas d'évolution de l'exigence</t>
        </r>
        <r>
          <rPr>
            <sz val="8"/>
            <color indexed="81"/>
            <rFont val="Tahoma"/>
            <family val="2"/>
          </rPr>
          <t xml:space="preserve">
</t>
        </r>
      </text>
    </comment>
    <comment ref="M7" authorId="2">
      <text>
        <r>
          <rPr>
            <sz val="10"/>
            <color indexed="81"/>
            <rFont val="Arial"/>
            <family val="2"/>
          </rPr>
          <t>Conformité par rapport à l'expression de besoin du client (exigence du cahier des charges)
- Conforme
- Partiellement conforme
- Non conforme</t>
        </r>
        <r>
          <rPr>
            <sz val="8"/>
            <color indexed="81"/>
            <rFont val="Tahoma"/>
            <family val="2"/>
          </rPr>
          <t xml:space="preserve">
</t>
        </r>
      </text>
    </comment>
    <comment ref="N7" authorId="2">
      <text>
        <r>
          <rPr>
            <sz val="10"/>
            <color indexed="81"/>
            <rFont val="Arial"/>
            <family val="2"/>
          </rPr>
          <t>Pour chaque exigence partiellement conforme ou non-conforme, indiquer la justification correspondante</t>
        </r>
        <r>
          <rPr>
            <sz val="8"/>
            <color indexed="81"/>
            <rFont val="Tahoma"/>
            <family val="2"/>
          </rPr>
          <t xml:space="preserve">
</t>
        </r>
      </text>
    </comment>
    <comment ref="O7" authorId="0">
      <text>
        <r>
          <rPr>
            <sz val="10"/>
            <color indexed="81"/>
            <rFont val="Arial"/>
            <family val="2"/>
          </rPr>
          <t xml:space="preserve">
N° du § de la PTC qui traite de cette exigence</t>
        </r>
      </text>
    </comment>
    <comment ref="P7" authorId="0">
      <text>
        <r>
          <rPr>
            <sz val="10"/>
            <color indexed="81"/>
            <rFont val="Arial"/>
            <family val="2"/>
          </rPr>
          <t xml:space="preserve">
indiquer le N° du § du Cahier des charges ou autre document d'entrée (CR réunion, …) qui a été  à l'origine de cette exigence</t>
        </r>
      </text>
    </comment>
    <comment ref="Q7" authorId="1">
      <text>
        <r>
          <rPr>
            <sz val="10"/>
            <color indexed="81"/>
            <rFont val="Arial"/>
            <family val="2"/>
          </rPr>
          <t>Les commentaires saisis dans cette colonne seront automatiquement repris dans la colonne commentaire de la matrice de traçabilité (utilisation de la macro IT&amp;L@bs)</t>
        </r>
      </text>
    </comment>
  </commentList>
</comments>
</file>

<file path=xl/sharedStrings.xml><?xml version="1.0" encoding="utf-8"?>
<sst xmlns="http://schemas.openxmlformats.org/spreadsheetml/2006/main" count="2766" uniqueCount="1082">
  <si>
    <t>Il s'agit des caractéristiques qualité du produit et des exigences opérationnelles sur le produit.</t>
  </si>
  <si>
    <r>
      <t>1 – Les caractéristiques qualité du produit</t>
    </r>
    <r>
      <rPr>
        <sz val="10"/>
        <rFont val="Arial"/>
        <family val="2"/>
      </rPr>
      <t xml:space="preserve">
- </t>
    </r>
    <r>
      <rPr>
        <b/>
        <sz val="10"/>
        <color indexed="12"/>
        <rFont val="Arial"/>
        <family val="2"/>
      </rPr>
      <t>Fiabilité</t>
    </r>
    <r>
      <rPr>
        <b/>
        <sz val="10"/>
        <rFont val="Arial"/>
        <family val="2"/>
      </rPr>
      <t xml:space="preserve"> (</t>
    </r>
    <r>
      <rPr>
        <b/>
        <sz val="10"/>
        <color indexed="10"/>
        <rFont val="Arial"/>
        <family val="2"/>
      </rPr>
      <t>Reliability</t>
    </r>
    <r>
      <rPr>
        <b/>
        <sz val="10"/>
        <rFont val="Arial"/>
        <family val="2"/>
      </rPr>
      <t>)</t>
    </r>
    <r>
      <rPr>
        <sz val="10"/>
        <rFont val="Arial"/>
        <family val="2"/>
      </rPr>
      <t xml:space="preserve">  Aptitude du logiciel à maintenir son niveau de service dans des conditions précises et pendant une période déterminée :
   * La maturité,
   * La tolérance aux fautes,
   * La capacité de récupération.
- </t>
    </r>
    <r>
      <rPr>
        <b/>
        <sz val="10"/>
        <color indexed="12"/>
        <rFont val="Arial"/>
        <family val="2"/>
      </rPr>
      <t>Facilité d'utilisation</t>
    </r>
    <r>
      <rPr>
        <b/>
        <sz val="10"/>
        <rFont val="Arial"/>
        <family val="2"/>
      </rPr>
      <t xml:space="preserve"> (Usability)</t>
    </r>
    <r>
      <rPr>
        <sz val="10"/>
        <rFont val="Arial"/>
        <family val="2"/>
      </rPr>
      <t xml:space="preserve">  Effort nécessaire pour l'utilisation et évaluation individuelle de cette utilisation par un ensemble défini ou implicite d'utilisateurs :
   * L'exploitabilité,
   * La facilité d'apprentissage,
   * La facilité de compréhension.
- </t>
    </r>
    <r>
      <rPr>
        <b/>
        <sz val="10"/>
        <color indexed="12"/>
        <rFont val="Arial"/>
        <family val="2"/>
      </rPr>
      <t>Efficacité</t>
    </r>
    <r>
      <rPr>
        <b/>
        <sz val="10"/>
        <rFont val="Arial"/>
        <family val="2"/>
      </rPr>
      <t xml:space="preserve"> (</t>
    </r>
    <r>
      <rPr>
        <b/>
        <sz val="10"/>
        <color indexed="10"/>
        <rFont val="Arial"/>
        <family val="2"/>
      </rPr>
      <t>Efficiency</t>
    </r>
    <r>
      <rPr>
        <b/>
        <sz val="10"/>
        <rFont val="Arial"/>
        <family val="2"/>
      </rPr>
      <t>)</t>
    </r>
    <r>
      <rPr>
        <sz val="10"/>
        <rFont val="Arial"/>
        <family val="2"/>
      </rPr>
      <t xml:space="preserve">  Rapport existant entre le niveau de service d'un logiciel et la quantité de ressources utilisées, dans des conditions déterminées :
   * L'efficacité des ressources employées,
   * L'efficacité des temps de réalisation.
- </t>
    </r>
    <r>
      <rPr>
        <b/>
        <sz val="10"/>
        <color indexed="12"/>
        <rFont val="Arial"/>
        <family val="2"/>
      </rPr>
      <t>Maintenabilité</t>
    </r>
    <r>
      <rPr>
        <b/>
        <sz val="10"/>
        <rFont val="Arial"/>
        <family val="2"/>
      </rPr>
      <t xml:space="preserve"> (</t>
    </r>
    <r>
      <rPr>
        <b/>
        <sz val="10"/>
        <color indexed="10"/>
        <rFont val="Arial"/>
        <family val="2"/>
      </rPr>
      <t>Maintainability</t>
    </r>
    <r>
      <rPr>
        <b/>
        <sz val="10"/>
        <rFont val="Arial"/>
        <family val="2"/>
      </rPr>
      <t xml:space="preserve">) </t>
    </r>
    <r>
      <rPr>
        <sz val="10"/>
        <rFont val="Arial"/>
        <family val="2"/>
      </rPr>
      <t xml:space="preserve"> Effort nécessaire pour faire des modifications données :
   * La stabilité,
   * La facilité de modification,
   * La facilité d'analyse,
   * La facilité à être testé.
-</t>
    </r>
    <r>
      <rPr>
        <b/>
        <sz val="10"/>
        <rFont val="Arial"/>
        <family val="2"/>
      </rPr>
      <t xml:space="preserve"> </t>
    </r>
    <r>
      <rPr>
        <b/>
        <sz val="10"/>
        <color indexed="12"/>
        <rFont val="Arial"/>
        <family val="2"/>
      </rPr>
      <t xml:space="preserve">Portabilité </t>
    </r>
    <r>
      <rPr>
        <b/>
        <sz val="10"/>
        <rFont val="Arial"/>
        <family val="2"/>
      </rPr>
      <t>(</t>
    </r>
    <r>
      <rPr>
        <b/>
        <sz val="10"/>
        <color indexed="10"/>
        <rFont val="Arial"/>
        <family val="2"/>
      </rPr>
      <t>Portability</t>
    </r>
    <r>
      <rPr>
        <b/>
        <sz val="10"/>
        <rFont val="Arial"/>
        <family val="2"/>
      </rPr>
      <t>)</t>
    </r>
    <r>
      <rPr>
        <sz val="10"/>
        <rFont val="Arial"/>
        <family val="2"/>
      </rPr>
      <t xml:space="preserve">  Aptitude du logiciel à être transféré d'un environnement à un autre :
   * La facilité d'installation,
   * La facilité de migration,
   * L'adaptabilité,
   * L'interchangeabilité.
</t>
    </r>
  </si>
  <si>
    <r>
      <t>4 - Les exigences d'exploitation  (exigences opérationnelles sur le produit)</t>
    </r>
    <r>
      <rPr>
        <sz val="10"/>
        <rFont val="Arial"/>
        <family val="2"/>
      </rPr>
      <t xml:space="preserve">
- Les conditions d’installation, de déploiement et de maintenance du logiciel à réaliser.
</t>
    </r>
  </si>
  <si>
    <r>
      <t xml:space="preserve">QUI fait (impact sur l'organisation) , QUAND et COMBIEN (contraintes de réalisation)
</t>
    </r>
    <r>
      <rPr>
        <sz val="10"/>
        <rFont val="Arial"/>
        <family val="2"/>
      </rPr>
      <t>Les exigences organisationnelles couvrent notamment :</t>
    </r>
    <r>
      <rPr>
        <b/>
        <sz val="10"/>
        <rFont val="Arial"/>
        <family val="2"/>
      </rPr>
      <t xml:space="preserve">  </t>
    </r>
    <r>
      <rPr>
        <sz val="10"/>
        <rFont val="Arial"/>
        <family val="2"/>
      </rPr>
      <t xml:space="preserve">
- L'organisation du projet en lots, phases, activités et identification des livrables.
- Les jalons du projet,
- Le choix du cycle de développement : en V, itératif, en cascade, incrémental …
- Les dispositions contractuelles, engagements, clauses affectant l’acquisition des produits sur étagère,
- Les contraintes juridictionnelles : obligations légales, réglementations,
- Le besoin en ressources humaines, 
- Le besoin concernant la fonction IQ du projet,
- L' outillage du projet : réutilisation, acquisition,
- Les exigences sur la formation et le support du produit réalisé.</t>
    </r>
  </si>
  <si>
    <r>
      <t>2 – Les  exigences de performance (exigences opérationnelles sur le produit)</t>
    </r>
    <r>
      <rPr>
        <sz val="10"/>
        <rFont val="Arial"/>
        <family val="2"/>
      </rPr>
      <t xml:space="preserve">
- Temps de réponse,
- Précision des résultats,
- Capacité de traitement d’un volume de données.
</t>
    </r>
  </si>
  <si>
    <r>
      <t>3 - Les exigences de sécurité (exigences opérationnelles sur le produit)</t>
    </r>
    <r>
      <rPr>
        <sz val="10"/>
        <rFont val="Arial"/>
        <family val="2"/>
      </rPr>
      <t xml:space="preserve">
- Authentification,
- Contrôle d’accès,
- Intégrité des données.</t>
    </r>
  </si>
  <si>
    <t>Technique</t>
  </si>
  <si>
    <t>Contraintes</t>
  </si>
  <si>
    <t>Exigences Techniques</t>
  </si>
  <si>
    <t>Exigences liées 
aux contraintes opérationnelles</t>
  </si>
  <si>
    <t>Exigences Organisationnelles /contraintes de réalisation</t>
  </si>
  <si>
    <t>Exigence Organisationnelle /Contrainte de réalisation</t>
  </si>
  <si>
    <t>Exigence de Contrainte opérationnelle</t>
  </si>
  <si>
    <t>Libellé de l'exigence</t>
  </si>
  <si>
    <t>Identifiant unique de l'exigence</t>
  </si>
  <si>
    <t>N° de version de l'exigence</t>
  </si>
  <si>
    <t>essentielle</t>
  </si>
  <si>
    <t>utile</t>
  </si>
  <si>
    <t>souhaitable</t>
  </si>
  <si>
    <t>approuvée</t>
  </si>
  <si>
    <t>rejetée</t>
  </si>
  <si>
    <t>Priorité</t>
  </si>
  <si>
    <t>Etat</t>
  </si>
  <si>
    <t>Fonctionnelle</t>
  </si>
  <si>
    <t>FONC</t>
  </si>
  <si>
    <t>TECH</t>
  </si>
  <si>
    <t>Organisationnelle</t>
  </si>
  <si>
    <t>ORGA</t>
  </si>
  <si>
    <t>CONT</t>
  </si>
  <si>
    <t xml:space="preserve">Type </t>
  </si>
  <si>
    <t>Raison de la modification</t>
  </si>
  <si>
    <t>R_FONC_</t>
  </si>
  <si>
    <t>R_TECH_</t>
  </si>
  <si>
    <t>R_ORGA_</t>
  </si>
  <si>
    <t>Exigence Fonctionnelle</t>
  </si>
  <si>
    <t>R_CONT_QUAL_</t>
  </si>
  <si>
    <t>R_CONT_PERF_</t>
  </si>
  <si>
    <t>R_CONT_SECU_</t>
  </si>
  <si>
    <t>Mots clés</t>
  </si>
  <si>
    <t>Liste à définir pour le projet</t>
  </si>
  <si>
    <t>Exigences Fonctionnelles</t>
  </si>
  <si>
    <r>
      <t xml:space="preserve">Bien lire le contenu de la cellule </t>
    </r>
    <r>
      <rPr>
        <b/>
        <sz val="10"/>
        <rFont val="Arial"/>
        <family val="2"/>
      </rPr>
      <t>B15</t>
    </r>
    <r>
      <rPr>
        <sz val="10"/>
        <rFont val="Arial"/>
        <family val="2"/>
      </rPr>
      <t xml:space="preserve"> de la feuille </t>
    </r>
    <r>
      <rPr>
        <sz val="10"/>
        <color indexed="12"/>
        <rFont val="Arial"/>
        <family val="2"/>
      </rPr>
      <t>"Read me"</t>
    </r>
  </si>
  <si>
    <t>Caractéristiques</t>
  </si>
  <si>
    <r>
      <t>Liste à compléter pour le projet</t>
    </r>
    <r>
      <rPr>
        <sz val="10"/>
        <rFont val="Arial"/>
        <family val="2"/>
      </rPr>
      <t xml:space="preserve">
Juridique = JUR
Projet = PRJ
Cycle = CYC
Ressources Humaines = RH
……</t>
    </r>
  </si>
  <si>
    <t>Qualité = QUAL</t>
  </si>
  <si>
    <t>Performance = PERF</t>
  </si>
  <si>
    <t>Sécurité = SECU</t>
  </si>
  <si>
    <t>Gestion des versions du référentiel - Gestion des versions des exigences</t>
  </si>
  <si>
    <t>Projet</t>
  </si>
  <si>
    <t>Etape</t>
  </si>
  <si>
    <t>Avant Vente</t>
  </si>
  <si>
    <t>1.00</t>
  </si>
  <si>
    <t>Date</t>
  </si>
  <si>
    <t>Commentaires</t>
  </si>
  <si>
    <t>AV</t>
  </si>
  <si>
    <t>PRJ</t>
  </si>
  <si>
    <t>Version initiale</t>
  </si>
  <si>
    <t>Version du référentiel :</t>
  </si>
  <si>
    <t>Etape :</t>
  </si>
  <si>
    <t>Projet :</t>
  </si>
  <si>
    <t>Historique du référentiel</t>
  </si>
  <si>
    <t>Propriétés du Référentiel</t>
  </si>
  <si>
    <t>Remplir les cellules en bleu</t>
  </si>
  <si>
    <t>A chaque enregistrement du référentiel maintenir à jour le tableau ci-dessous</t>
  </si>
  <si>
    <r>
      <t xml:space="preserve">Bien lire le contenu de la cellule </t>
    </r>
    <r>
      <rPr>
        <b/>
        <sz val="10"/>
        <rFont val="Arial"/>
        <family val="2"/>
      </rPr>
      <t>B18</t>
    </r>
    <r>
      <rPr>
        <sz val="10"/>
        <rFont val="Arial"/>
        <family val="2"/>
      </rPr>
      <t xml:space="preserve"> de la feuille </t>
    </r>
    <r>
      <rPr>
        <sz val="10"/>
        <color indexed="12"/>
        <rFont val="Arial"/>
        <family val="2"/>
      </rPr>
      <t>"Read me"</t>
    </r>
  </si>
  <si>
    <r>
      <t xml:space="preserve">Avant de sauvegarder ce fichier se reporter à la feuille </t>
    </r>
    <r>
      <rPr>
        <b/>
        <sz val="10"/>
        <color indexed="12"/>
        <rFont val="Arial"/>
        <family val="2"/>
      </rPr>
      <t>"Prop_Ref"</t>
    </r>
  </si>
  <si>
    <t>1.04</t>
  </si>
  <si>
    <t>Cahier des charges client</t>
  </si>
  <si>
    <t xml:space="preserve"> </t>
  </si>
  <si>
    <t>Exigence Technique</t>
  </si>
  <si>
    <r>
      <t xml:space="preserve">AVEC QUOI 
</t>
    </r>
    <r>
      <rPr>
        <sz val="10"/>
        <rFont val="Arial"/>
        <family val="2"/>
      </rPr>
      <t>Application des nouvelles technologies à la solution : matériel et logiciel,</t>
    </r>
    <r>
      <rPr>
        <sz val="10"/>
        <rFont val="Arial"/>
        <family val="2"/>
      </rPr>
      <t xml:space="preserve">
Modélisation,
Architecture matérielle et logicielle,
Maturité et évolutivité de la solution,
Interfaces externes et de communication.</t>
    </r>
  </si>
  <si>
    <t>R_CONT_EXPLOIT</t>
  </si>
  <si>
    <t>Exploitation = EXPLOIT</t>
  </si>
  <si>
    <r>
      <t>QUOI  (fonctionnalités, obligations, dépendances) : service rendu par le produit développé</t>
    </r>
    <r>
      <rPr>
        <sz val="10"/>
        <rFont val="Arial"/>
        <family val="2"/>
      </rPr>
      <t xml:space="preserve">
Ensemble de fonctions qui satisfont aux besoins exprimés ou implicites. La définition des fonctions inclut :
- les données d’entrée /sortie (nature des données),
- les algorithmes de traitement (logique de traitement),
- Les interfaces externes (entrées / sorties du système),
- Les fonctions d’interopérabilité avec les systèmes adjacents.</t>
    </r>
  </si>
  <si>
    <t>Cahier des Charges Client</t>
  </si>
  <si>
    <t>Conformité</t>
  </si>
  <si>
    <t>Justification de la conformité</t>
  </si>
  <si>
    <t>Conforme</t>
  </si>
  <si>
    <t>Partiellement conforme</t>
  </si>
  <si>
    <t>Non conforme</t>
  </si>
  <si>
    <t>Total</t>
  </si>
  <si>
    <t>Historique du nombre d'exigences par état</t>
  </si>
  <si>
    <t>Historique des modifications du modèle</t>
  </si>
  <si>
    <t>Version</t>
  </si>
  <si>
    <t>Auteur</t>
  </si>
  <si>
    <t>1.03</t>
  </si>
  <si>
    <t>Création du modèle de référentiel d’exigences</t>
  </si>
  <si>
    <t>Audren Riou/ Nicolas Rosqouët</t>
  </si>
  <si>
    <t>1.01</t>
  </si>
  <si>
    <t>Ajout de l’onglet synthèse</t>
  </si>
  <si>
    <t>Nicole Lesné</t>
  </si>
  <si>
    <t>1.02</t>
  </si>
  <si>
    <t>Compléments de l’onglet synthèse : ajout conformité</t>
  </si>
  <si>
    <t>Ajout des onglets statistiques et historique statistiques</t>
  </si>
  <si>
    <t>Ajout de l'onglet Historique du modèle (onglet masqué)</t>
  </si>
  <si>
    <t>Nbr total d'exigences</t>
  </si>
  <si>
    <t>Nbr d'exigences filtrées</t>
  </si>
  <si>
    <t>Tx filtrées</t>
  </si>
  <si>
    <t>Etat validation</t>
  </si>
  <si>
    <t>à valider</t>
  </si>
  <si>
    <t>validée</t>
  </si>
  <si>
    <t>non validée</t>
  </si>
  <si>
    <t xml:space="preserve">N° de version ou d'itération </t>
  </si>
  <si>
    <r>
      <t xml:space="preserve">Bien lire le contenu de la cellule </t>
    </r>
    <r>
      <rPr>
        <b/>
        <sz val="10"/>
        <rFont val="Arial"/>
        <family val="2"/>
      </rPr>
      <t>B12</t>
    </r>
    <r>
      <rPr>
        <sz val="10"/>
        <rFont val="Arial"/>
        <family val="2"/>
      </rPr>
      <t xml:space="preserve"> de la feuille </t>
    </r>
    <r>
      <rPr>
        <sz val="10"/>
        <color indexed="12"/>
        <rFont val="Arial"/>
        <family val="2"/>
      </rPr>
      <t>"Read me"</t>
    </r>
  </si>
  <si>
    <r>
      <t xml:space="preserve">Bien lire le contenu des cellules </t>
    </r>
    <r>
      <rPr>
        <b/>
        <sz val="10"/>
        <rFont val="Arial"/>
        <family val="2"/>
      </rPr>
      <t>B(22 à 25)</t>
    </r>
    <r>
      <rPr>
        <sz val="10"/>
        <rFont val="Arial"/>
        <family val="2"/>
      </rPr>
      <t xml:space="preserve"> de la feuille </t>
    </r>
    <r>
      <rPr>
        <sz val="10"/>
        <color indexed="12"/>
        <rFont val="Arial"/>
        <family val="2"/>
      </rPr>
      <t>"Read me"</t>
    </r>
  </si>
  <si>
    <t>1.05</t>
  </si>
  <si>
    <t>- ajout d'une ligne de comptage avec formule de filtrage en haut de tableau
- Modification du commentaire de la colonne 'cahier des charges'
- ajout d'une colonne remarque
- ajout colonne 'Etat de validation' + colonne 'Référence validation / DE / RA'
- suppression du type d'exigences stratégique
- ajout colonne pour numéro de version du logiciel ou numéro d"itération</t>
  </si>
  <si>
    <t>1.06</t>
  </si>
  <si>
    <t>1.07</t>
  </si>
  <si>
    <t>Aurélien Aulair /Claire Machot</t>
  </si>
  <si>
    <t xml:space="preserve">en cours </t>
  </si>
  <si>
    <t>Etat de l'exigence</t>
  </si>
  <si>
    <t>1.08</t>
  </si>
  <si>
    <t>Composant</t>
  </si>
  <si>
    <t xml:space="preserve">"Règle Gestion des exigences"
Réf. : QUAL-R2-RE-10  </t>
  </si>
  <si>
    <t>ID des exigences</t>
  </si>
  <si>
    <t>Libellés des exigences</t>
  </si>
  <si>
    <t>Etat exigences</t>
  </si>
  <si>
    <t>nbre actuel</t>
  </si>
  <si>
    <t>- Refonte de la macro Synthèse
- màj onglet read me
- Ajout colonnes "composant"
- Refonte de la macro historique des Statistiques
- Suppression de l'onglet statistique qui est maintenant intégré dans l'onglet "Historique Statistiques"</t>
  </si>
  <si>
    <t>1.10</t>
  </si>
  <si>
    <t>Claire Machot</t>
  </si>
  <si>
    <t>Ajout colonne "exigences liées / dépendances"</t>
  </si>
  <si>
    <t>Exigences liées / Dépendances</t>
  </si>
  <si>
    <t>1.11</t>
  </si>
  <si>
    <t>RT 5194 :modif onglet Prop_Ref pour nommage fichier et suivi des versions</t>
  </si>
  <si>
    <t>Nom de fichier :</t>
  </si>
  <si>
    <t>Version du fichier</t>
  </si>
  <si>
    <t>1.20</t>
  </si>
  <si>
    <t xml:space="preserve">Priorité client </t>
  </si>
  <si>
    <t>Complexité technique</t>
  </si>
  <si>
    <t xml:space="preserve">Priorité technique </t>
  </si>
  <si>
    <t>Remarque / commentaire sur l' exigence</t>
  </si>
  <si>
    <t>PTC</t>
  </si>
  <si>
    <t>- correction du bug si Etat exigences non renseigné et activation macro extraction statistiques: nb d'exigences /état</t>
  </si>
  <si>
    <t>-Prise en compte RT 2193 (bug onglet statistique) et 855 (typo)
-Modification du choix en liste pour les états des exigences</t>
  </si>
  <si>
    <t>Précision sur la notion de priorité client, ajout des notions de priorité et de complexité technique, ajout précision sur l'état d'une exigence. 
suppression des colonnes Etat de validation et Référence validation / DE / RA
Suppression état "vérifié"</t>
  </si>
  <si>
    <t>1.30</t>
  </si>
  <si>
    <t>Arnaud Clech</t>
  </si>
  <si>
    <t>Modification de la liste de valeur pour la colonne Conforme dans les onglets Fonctionnelle et Technique (RT 9908)
Suppression des esperluettes et copyright dans les pieds de page</t>
  </si>
  <si>
    <t>1.40</t>
  </si>
  <si>
    <t>Aurélien Aulair</t>
  </si>
  <si>
    <t>OABisation</t>
  </si>
  <si>
    <t xml:space="preserve">Pour remplir correctement ce document se reporter à la règle disponible sous le référentiel qualité : </t>
  </si>
  <si>
    <r>
      <t xml:space="preserve">Le </t>
    </r>
    <r>
      <rPr>
        <b/>
        <sz val="10"/>
        <color indexed="12"/>
        <rFont val="Arial"/>
        <family val="2"/>
      </rPr>
      <t>référentiel du projet</t>
    </r>
    <r>
      <rPr>
        <sz val="10"/>
        <rFont val="Arial"/>
        <family val="2"/>
      </rPr>
      <t xml:space="preserve"> est géré en configuration sous la forme :
</t>
    </r>
    <r>
      <rPr>
        <i/>
        <sz val="10"/>
        <color indexed="12"/>
        <rFont val="Arial"/>
        <family val="2"/>
      </rPr>
      <t xml:space="preserve">CNT360C1_EXIGENCES_PRJ.xlsm. 
</t>
    </r>
    <r>
      <rPr>
        <sz val="10"/>
        <rFont val="Arial"/>
        <family val="2"/>
      </rPr>
      <t>Le suivi des versions successives du référentiel se fait via l'onglet Prop_Ref de ce fichier. 
De plus,  pour chaque modification de ce référentiel, il est recommandé de faire des commentaires lors des "commits"</t>
    </r>
    <r>
      <rPr>
        <i/>
        <sz val="10"/>
        <color indexed="12"/>
        <rFont val="Arial"/>
        <family val="2"/>
      </rPr>
      <t xml:space="preserve">. </t>
    </r>
    <r>
      <rPr>
        <sz val="10"/>
        <rFont val="Arial"/>
        <family val="2"/>
      </rPr>
      <t xml:space="preserve">
</t>
    </r>
  </si>
  <si>
    <r>
      <t xml:space="preserve">le </t>
    </r>
    <r>
      <rPr>
        <b/>
        <sz val="10"/>
        <color indexed="12"/>
        <rFont val="Arial"/>
        <family val="2"/>
      </rPr>
      <t>référentiel d'Avant Vente</t>
    </r>
    <r>
      <rPr>
        <sz val="10"/>
        <rFont val="Arial"/>
        <family val="2"/>
      </rPr>
      <t xml:space="preserve"> est enregistré sous des versions successives de la forme :
</t>
    </r>
    <r>
      <rPr>
        <i/>
        <sz val="10"/>
        <color indexed="12"/>
        <rFont val="Arial"/>
        <family val="2"/>
      </rPr>
      <t>CNT360C1_EXIGENCES_AV_1.00.xlsm,</t>
    </r>
    <r>
      <rPr>
        <sz val="10"/>
        <rFont val="Arial"/>
        <family val="2"/>
      </rPr>
      <t xml:space="preserve"> puis </t>
    </r>
    <r>
      <rPr>
        <i/>
        <sz val="10"/>
        <color indexed="12"/>
        <rFont val="Arial"/>
        <family val="2"/>
      </rPr>
      <t>CNT360C1_EXIGENCES_AV_1.01.xlsm</t>
    </r>
    <r>
      <rPr>
        <sz val="10"/>
        <rFont val="Arial"/>
        <family val="2"/>
      </rPr>
      <t xml:space="preserve">, …
</t>
    </r>
  </si>
  <si>
    <t>Ce fichier permet d'initialiser lors de l'avant vente les exigences provenant du Cahier des charges.
En l'absence d'outil, ce fichier est tenu à jour par le CP dès le lancement du projet, puis tout au long du projet.
Ce fichier représente la façon minimum de répertorier et tracer les exigences dans le cadre du référentiel qualité</t>
  </si>
  <si>
    <t>1.50</t>
  </si>
  <si>
    <t>Version pour traduction anglaise
Correction bug synthèse (BTD-422)</t>
  </si>
  <si>
    <t>Penser aux exigences sur les mentions légales</t>
  </si>
  <si>
    <t>Exemple :</t>
  </si>
  <si>
    <t xml:space="preserve">!  </t>
  </si>
  <si>
    <t>1.60</t>
  </si>
  <si>
    <t>Fin de limitation du nombre de caractère du code projet (BTD-1131)</t>
  </si>
  <si>
    <t>Une session doit pouvoir etre supprimée</t>
  </si>
  <si>
    <t>Les champs d'une salle doivent être modifiables</t>
  </si>
  <si>
    <t>De nouveaux champs peuvent être ajouter dynamiquement</t>
  </si>
  <si>
    <t>Une salle doit pouvoir être supprimée</t>
  </si>
  <si>
    <t>CCTP 1,8
3,2,1,1</t>
  </si>
  <si>
    <t>CCTP 1,8
5</t>
  </si>
  <si>
    <t>CCTP 1,8
3,2,3,4</t>
  </si>
  <si>
    <t>CCTP 1,8
3,2,2</t>
  </si>
  <si>
    <t>CCTP 1,8
3,2,3,3
Atelier #1</t>
  </si>
  <si>
    <t>La caractéristique "liste des salles internes" d'une création de session correspond à la liste de nom des salles. Il n'y a pas de taille maximale à cette liste. (la contrainte est portée par la limite du nombre de codec)</t>
  </si>
  <si>
    <t xml:space="preserve">La caractéristique "fuseau horaire" d'une création de session correspond au fuseau horaire utilisé pour les horaires de la session. Paris par défaut. </t>
  </si>
  <si>
    <t xml:space="preserve">La caractéristique "récurrence" d'une création de session correspond à un booléen. Faux par défaut. </t>
  </si>
  <si>
    <t xml:space="preserve">La configuration de la récurrence permet de déclarer une méthode de fin de récurrence parmi : Après X occurrences, après une date D.  
X étant défini entre 2 et N ? 
D ne pouvant dépasser la date courante + N jours. </t>
  </si>
  <si>
    <t>La caractéristique "commentaire" d'une création de session est un champs texte libre de taille inférieur à N caractères.</t>
  </si>
  <si>
    <t xml:space="preserve">Les caractéristiques liées à l'état de facturation : état, date, commentaire. 
L'état de facturation est une valeurs parmi : pré-réservée, confirmée, facturation émise, facturation émise avec réfaction, paiement perçu
Une date d'état doit être renseignée, c'est une date libre (date courante par défaut) 
Un commentaire est optionnel, c'est un champs texte libre de taille maximale : N caractères.  </t>
  </si>
  <si>
    <t>Une création de session n'est possible que si la salle est disponible (non réservé) sur le créneau horaire</t>
  </si>
  <si>
    <t>Une création de session n'est possible que si la salle n'est pas fermée sur le créneau horaire</t>
  </si>
  <si>
    <t xml:space="preserve">Une case à cocher d'acceptation des conditions générales d'usage doit être cochée pour pouvoir valider le formulaire. </t>
  </si>
  <si>
    <t>Depuis la vue Agenda, l'utilisateur peut choisir s'il veut afficher l'agenda sur une journée, une semaine, ou un mois. (un mois par défaut)</t>
  </si>
  <si>
    <t>Depuis la conciergerie, l'utilisateur peut créer une demande de réservation via un simple bouton (sans passer par la vue Agenda)</t>
  </si>
  <si>
    <t>La réouverture d'une salle après une fermeture est possible par une personne ayant les droits nécessaires même si il n'est pas à l'origine de la fermeture.</t>
  </si>
  <si>
    <t>Un gestionnaire d'établissement à des droits sur un ensemble de salles, pas nécessairement reliées géographiquement</t>
  </si>
  <si>
    <t>La caractéristique Type Accès est un booléen. Vrai si l'accès est régit par un boitier SPARTIME, faux sinon.</t>
  </si>
  <si>
    <t>La caractéristique Ouvert à la location est un booléen. Vrai si la salle peut être louée à des personnes étragnères à l'UBL. Faux sinon</t>
  </si>
  <si>
    <t>La caractéristique Validation spécifique est un booléen. Vrai si la salle nécessite d'être valider manuellement par un gestionnaire. Faux sinon.</t>
  </si>
  <si>
    <t>La caractéristique Visio est un booléen. Vrai si la salle est équipée en visioconférence. Faux sinon.</t>
  </si>
  <si>
    <t xml:space="preserve">La fermeture d'une salle sur un créneau horaire où une demande de validation est en cours, engendre le refus automatique de cette validation. </t>
  </si>
  <si>
    <t xml:space="preserve">Une demande de réservation de salle est validée automatiquement à terme de son délai de validation. </t>
  </si>
  <si>
    <t>R_FONC_VALID_WORKFLOW_10</t>
  </si>
  <si>
    <t>R_FONC_VALID_WORKFLOW_11</t>
  </si>
  <si>
    <t>R_FONC_VALID_WORKFLOW_12</t>
  </si>
  <si>
    <t>R_FONC_VALID_WORKFLOW_13</t>
  </si>
  <si>
    <t>Un mail de refus manuel de réservation de salle doit contenir le motif du refus et le commentaire de refus si présent. (cf R_FONC_VALID_WORKFLOW)</t>
  </si>
  <si>
    <t>R_FONC_VALID_WORKFLOW_14</t>
  </si>
  <si>
    <t>Une demande de réservation de session génère un mail de notification de demande de réservation à l'organisateur et au présentateur. (cf R_FONC_MAIL pour le détail du mail)</t>
  </si>
  <si>
    <t>R_FONC_VALID_WORKFLOW_15</t>
  </si>
  <si>
    <t>R_FONC_VALID_WORKFLOW_16</t>
  </si>
  <si>
    <t>R_FONC_VALID_WORKFLOW_17</t>
  </si>
  <si>
    <t>Un refus de demande de salle rend immédiatement la salle disponible sur le créneau libéré.</t>
  </si>
  <si>
    <t>Une demande de réservation de session engendre autant de demandes de validation qu'elle comporte de salle.</t>
  </si>
  <si>
    <t>Une demande de validation manuelle engendre un mail de demande de validation aux gestionnaires d'établissement affectés à cette salle. (CF R_FONC_MAIL pour le détail du mail)</t>
  </si>
  <si>
    <r>
      <t xml:space="preserve">1 mail par session et non 1 mail par salle dans la session.
</t>
    </r>
    <r>
      <rPr>
        <b/>
        <sz val="10"/>
        <rFont val="Arial"/>
        <family val="2"/>
      </rPr>
      <t>Mail de notification de réservation de session</t>
    </r>
  </si>
  <si>
    <t>Mail de demande de validation</t>
  </si>
  <si>
    <t>Mail de rappel</t>
  </si>
  <si>
    <t>Mail d'avertissement de validation automatique</t>
  </si>
  <si>
    <t>Lorsqu'une demande de salle est validée manuellement ou automatiquement, un mail de confirmation de validation de salle est envoyé à l'organisateur, au présentateur et gestionnaires d'établissement de cette salle. (cf R_FONC_MAIL pour le détail du mail)</t>
  </si>
  <si>
    <t>Mail de confirmation de validation de salle</t>
  </si>
  <si>
    <t>Mail de refus</t>
  </si>
  <si>
    <t>Mail de refus auto</t>
  </si>
  <si>
    <t>Mail de modification de session</t>
  </si>
  <si>
    <t>Un mail de demande validation doit contenir un lien vers la page de validation de demandes de salle et le nom et la date de la session(cf R_FONC_VALID_WORKFLOW)</t>
  </si>
  <si>
    <t>Un mail d'avertissement de validation automatique doit contenir le nom et la date de la session (cf R_FONC_VALID_WORKFLOW)</t>
  </si>
  <si>
    <t>R_FONC_VALID_WORKFLOW_18</t>
  </si>
  <si>
    <t>Le délai de réservation doit tenir compte des jours ouvrés. (un délai de 10 jours est en fait un délai de 10 jours ouvrés)</t>
  </si>
  <si>
    <t>Le délai de réservation doit tenir compte des jours de fermeture en décalant d'autant la date de validation automatique.</t>
  </si>
  <si>
    <t xml:space="preserve">Les réservations encore non validées sont validées automatiquement durant la nuit précédent la session. </t>
  </si>
  <si>
    <t>R_FONC_VALID_WORKFLOW_19</t>
  </si>
  <si>
    <t>R_FONC_SESSION_CRT_10</t>
  </si>
  <si>
    <t>R_FONC_SESSION_CRT_11</t>
  </si>
  <si>
    <t>R_FONC_SESSION_CRT_12</t>
  </si>
  <si>
    <t>R_FONC_SESSION_CRT_13</t>
  </si>
  <si>
    <t>R_FONC_SESSION_CRT_14</t>
  </si>
  <si>
    <t>R_FONC_SESSION_CRT_15</t>
  </si>
  <si>
    <t>CCTP3.2</t>
  </si>
  <si>
    <t>Atelier 3</t>
  </si>
  <si>
    <t xml:space="preserve">La vue textuelle du bilan CO2 retourne le bilan carbone session par session. </t>
  </si>
  <si>
    <t>Le bilan CO2 ne prend en compte que les salles équipées en visioconférence</t>
  </si>
  <si>
    <t>La vue textuelle doit permettre l'affichage de la liste des salles associées à la session</t>
  </si>
  <si>
    <t xml:space="preserve">La vue textuelle du bilan CO2 doit permettre l'export des sessions sous forme de fichier. </t>
  </si>
  <si>
    <t xml:space="preserve">La vue textuelle du bilan CO2 doit permettre l'export des salles associées aux sessions sous forme de fichier. </t>
  </si>
  <si>
    <t>Les exports doivent respecter les mêmes critères de filtres que la vue textuelle</t>
  </si>
  <si>
    <t>Les données du bilan CO2 doivent être conservés pendant 12 ans.</t>
  </si>
  <si>
    <t xml:space="preserve">La page de validation des réservations de salle doit afficher les réservations de salles déjà validée ou refusée si elles n'ont pas encore eu lieu. </t>
  </si>
  <si>
    <t>Des infos-bulles sont à prévoir dans les titres de colonnes sur les tableaux</t>
  </si>
  <si>
    <t>Des infos-bulles sont à prévoir sur les boutons d'action</t>
  </si>
  <si>
    <t>La vue textuelle doit être une liste paginée</t>
  </si>
  <si>
    <t>La vue textuelle doit permettre l'export des données sous forme de fichier</t>
  </si>
  <si>
    <t>Les graphiques de doivent être exportables sous forme d'image (jpeg)</t>
  </si>
  <si>
    <t xml:space="preserve">L'outillage de choix de date pour les plages de dates doit limiter l'utilisateur dans son choix en fonction des durée min et max. </t>
  </si>
  <si>
    <t>Une suppression de session engendre un mail de suppression de session à l'organisateur, au présentateur et au propriétaire de la vidéo (Cf R_FONC_MAIL pour le détail du mail)</t>
  </si>
  <si>
    <t>Mail de suppression de session</t>
  </si>
  <si>
    <t>Atelier 5</t>
  </si>
  <si>
    <t>R_UI_UTILISATEUR_01</t>
  </si>
  <si>
    <t>L'utilisateur peut réserver des sessions (suivant profil)</t>
  </si>
  <si>
    <t>1.0</t>
  </si>
  <si>
    <t>CCTP 1.8
3.1</t>
  </si>
  <si>
    <t>R_UI_UTILISATEUR_02</t>
  </si>
  <si>
    <t>L'utilisateur a accès à ses informations personnelles</t>
  </si>
  <si>
    <t>R_UI_UTILISATEUR_03</t>
  </si>
  <si>
    <t>L'utilisateur peut suivre les éventuelles anomalies (suivant profil)</t>
  </si>
  <si>
    <t>R_UI_UTILISATEUR_04</t>
  </si>
  <si>
    <t>L'utilisateur a accès à des renseignements généraux</t>
  </si>
  <si>
    <t>R_UI_AUTHENTIFICATION_01</t>
  </si>
  <si>
    <t>L'utilisateur doit s'authentifier pour accéder au portail de conciergerie. Aucune page publique n'est consultable</t>
  </si>
  <si>
    <t>CCTP 1.8
3.6</t>
  </si>
  <si>
    <t>R_UI_AUTHENTIFICATION_02</t>
  </si>
  <si>
    <t>R_UI_AUTHENTIFICATION_03</t>
  </si>
  <si>
    <t>Les administrateurs et les personnes ayant sollicité l’utilisation des ressources de visioconférence devront, eux, s’authentifier directement sur le portail de conciergerie.</t>
  </si>
  <si>
    <t xml:space="preserve">Gestionnaire d’établissement : gère ce qui est lié à son établissement </t>
  </si>
  <si>
    <t>Personnel d’établissement : consulte l’agenda et réserve des sessions</t>
  </si>
  <si>
    <t xml:space="preserve">Etudiant : accède à l’agenda des salles uniquement en consultation </t>
  </si>
  <si>
    <t>Partenaire : ce rôle, affecté aux utilisateurs non membres de UBL, permettra de différencier leurs réservations de celles réalisées par des membres (validation additionnelle par le gestionnaire UBL)</t>
  </si>
  <si>
    <t>R_UI_DROITS_01</t>
  </si>
  <si>
    <t>Backoffice</t>
  </si>
  <si>
    <t>R_UI_DROITS_02</t>
  </si>
  <si>
    <t>Atelier #2</t>
  </si>
  <si>
    <t>R_UI_DROITS_03</t>
  </si>
  <si>
    <t>CCTP 1.8
3.8.1.1
Atelier #2</t>
  </si>
  <si>
    <t>R_UI_DROITS_04</t>
  </si>
  <si>
    <t>CCTP 1.8
3.8.1.2
Atelier #2</t>
  </si>
  <si>
    <t>R_UI_DROITS_05</t>
  </si>
  <si>
    <t>R_UI_DROITS_06</t>
  </si>
  <si>
    <t>R_UI_DROITS_07</t>
  </si>
  <si>
    <t>Le partenaire n'a aucun droit sur le portail de conciergerie car il n'est pas connecté</t>
  </si>
  <si>
    <t>R_UI_MENU_01</t>
  </si>
  <si>
    <t>CCTP 1.8
3.1.1</t>
  </si>
  <si>
    <t>R_UI_PAGE_AGENDA_01</t>
  </si>
  <si>
    <t>R_UI_PAGE_SESSION_01</t>
  </si>
  <si>
    <t>Atelier #1</t>
  </si>
  <si>
    <t>R_UI_PAGE_VALIDATION_01</t>
  </si>
  <si>
    <t>R_UI_PAGE_STAT_01</t>
  </si>
  <si>
    <t>R_UI_SALLE_01</t>
  </si>
  <si>
    <t>CCTP 1.8
3.2.1.2</t>
  </si>
  <si>
    <t>Exigences UI</t>
  </si>
  <si>
    <t>R_UI_PROFIL_01</t>
  </si>
  <si>
    <t>R_UI_PROFIL_02</t>
  </si>
  <si>
    <t>R_UI_PROFIL_03</t>
  </si>
  <si>
    <t>R_UI_PROFIL_04</t>
  </si>
  <si>
    <t>R_UI_PROFIL_05</t>
  </si>
  <si>
    <t>R_UI_PROFIL_06</t>
  </si>
  <si>
    <t>R_FONC_SESSION_CRT_01</t>
  </si>
  <si>
    <t>R_FONC_SESSION_CRT_02</t>
  </si>
  <si>
    <t>R_FONC_SESSION_CRT_03</t>
  </si>
  <si>
    <t>R_FONC_SESSION_CRT_04</t>
  </si>
  <si>
    <t>R_FONC_SESSION_CRT_05</t>
  </si>
  <si>
    <t>R_FONC_SESSION_CRT_06</t>
  </si>
  <si>
    <t>R_FONC_SESSION_CRT_07</t>
  </si>
  <si>
    <t>R_FONC_SESSION_CRT_08</t>
  </si>
  <si>
    <t>R_FONC_SESSION_CRT_09</t>
  </si>
  <si>
    <t>R_FONC_SESSION_CRT_16</t>
  </si>
  <si>
    <t>R_FONC_SESSION_CRT_17</t>
  </si>
  <si>
    <t>R_FONC_SESSION_CRT_18</t>
  </si>
  <si>
    <t>R_FONC_SESSION_LISTE_01</t>
  </si>
  <si>
    <t>R_FONC_SESSION_MAJ_01</t>
  </si>
  <si>
    <t>R_FONC_SESSION_MAJ_02</t>
  </si>
  <si>
    <t>R_FONC_SESSION_SUPP_01</t>
  </si>
  <si>
    <t>R_FONC_SESSION_SUPP_02</t>
  </si>
  <si>
    <t>R_FONC_SALLE_CRT_01</t>
  </si>
  <si>
    <t>R_FONC_SALLE_CRT_02</t>
  </si>
  <si>
    <t>R_FONC_SALLE_CRT_03</t>
  </si>
  <si>
    <t>R_FONC_SALLE_CRT_04</t>
  </si>
  <si>
    <t>R_FONC_SALLE_CRT_05</t>
  </si>
  <si>
    <t>R_FONC_SALLE_CRT_06</t>
  </si>
  <si>
    <t>R_FONC_SALLE_CRT_07</t>
  </si>
  <si>
    <t>R_FONC_SALLE_CRT_08</t>
  </si>
  <si>
    <t>R_FONC_SALLE_CRT_09</t>
  </si>
  <si>
    <t>R_FONC_SALLE_CRT_10</t>
  </si>
  <si>
    <t>R_FONC_SALLE_CRT_11</t>
  </si>
  <si>
    <t>R_FONC_SALLE_MAJ_01</t>
  </si>
  <si>
    <t>R_FONC_SALLE_MAJ_02</t>
  </si>
  <si>
    <t>R_FONC_SALLE_MAJ_03</t>
  </si>
  <si>
    <t>R_FONC_SALLE_FERM_01</t>
  </si>
  <si>
    <t>R_FONC_SALLE_FERM_02</t>
  </si>
  <si>
    <t>R_FONC_SALLE_FERM_03</t>
  </si>
  <si>
    <t>R_FONC_VALID_WORKFLOW_01</t>
  </si>
  <si>
    <t>R_FONC_VALID_WORKFLOW_02</t>
  </si>
  <si>
    <t>R_FONC_VALID_WORKFLOW_03</t>
  </si>
  <si>
    <t>R_FONC_VALID_WORKFLOW_04</t>
  </si>
  <si>
    <t>R_FONC_VALID_WORKFLOW_05</t>
  </si>
  <si>
    <t>R_FONC_VALID_WORKFLOW_06</t>
  </si>
  <si>
    <t>R_FONC_VALID_WORKFLOW_07</t>
  </si>
  <si>
    <t>R_FONC_VALID_WORKFLOW_08</t>
  </si>
  <si>
    <t>R_FONC_VALID_WORKFLOW_09</t>
  </si>
  <si>
    <t>R_FONC_EMAIL_01</t>
  </si>
  <si>
    <t>R_FONC_EMAIL_02</t>
  </si>
  <si>
    <t>R_FONC_EMAIL_03</t>
  </si>
  <si>
    <t>R_FONC_EMAIL_04</t>
  </si>
  <si>
    <t>R_FONC_EMAIL_05</t>
  </si>
  <si>
    <t>R_FONC_EMAIL_06</t>
  </si>
  <si>
    <t>R_FONC_EMAIL_07</t>
  </si>
  <si>
    <t>R_FONC_EMAIL_08</t>
  </si>
  <si>
    <t>R_FONC_EMAIL_09</t>
  </si>
  <si>
    <t>R_FONC_EMAIL_10</t>
  </si>
  <si>
    <t>R_FONC_SESSION_VALID_01</t>
  </si>
  <si>
    <t>R_FONC_REPORTING_01</t>
  </si>
  <si>
    <t>R_FONC_STATS_USAGE_01</t>
  </si>
  <si>
    <t>R_UI_PAGE_SESSION_02</t>
  </si>
  <si>
    <t>CCTP 3.2.1.1</t>
  </si>
  <si>
    <t>CCTP1,8  3.2.2</t>
  </si>
  <si>
    <t>CCTP1,8  3.2.2
Atelier #1</t>
  </si>
  <si>
    <t>Depuis la vue Agenda, accès au formulaire de création de session sur un clic sur un jour/horaire de l’agenda</t>
  </si>
  <si>
    <t>Depuis la vue Agenda, mise en forme par code couleur de chaque agenda distinct avec une couleur par agenda en respectant les règles d’accessibilité numérique</t>
  </si>
  <si>
    <t>Depuis la vue Agenda, l'utilisateur peut visualiser l'agenda de plusieurs salles simultannément. Les salles ont été préselectionnées pendant la session.</t>
  </si>
  <si>
    <t>La vue Agenda se positionne à la date du jour par défaut.</t>
  </si>
  <si>
    <t xml:space="preserve">CCTP1,8  3.2.2.1
</t>
  </si>
  <si>
    <t>CCTP 1,8
3,2,3,4 &amp; 3,2,4</t>
  </si>
  <si>
    <t>CCTP 1,8
3,2,2,2
Atelier #2</t>
  </si>
  <si>
    <t>CCTP 3,2,3,1
Atelier #1</t>
  </si>
  <si>
    <t>CCTP 3,2,3,3</t>
  </si>
  <si>
    <t>CCTP 3,2,3,6</t>
  </si>
  <si>
    <t>CCTP 3,2,3,2</t>
  </si>
  <si>
    <t>CCTP 1,8  3,2,3,3</t>
  </si>
  <si>
    <t>CCTP 1,8  3,2,3,6</t>
  </si>
  <si>
    <t>Atelier #6</t>
  </si>
  <si>
    <t>R_UI_PAGE_SESSION_03</t>
  </si>
  <si>
    <t>R_UI_PAGE_AGENDA_02</t>
  </si>
  <si>
    <t>R_UI_PAGE_AGENDA_03</t>
  </si>
  <si>
    <t>R_UI_PAGE_AGENDA_04</t>
  </si>
  <si>
    <t>R_UI_PAGE_AGENDA_05</t>
  </si>
  <si>
    <t>R_UI_PAGE_AGENDA_06</t>
  </si>
  <si>
    <t>A la réservation, si la session a lieu en incluant la période 12h-14h : une pop-in avertit l'utilisateur que la pause de midi sera présente sur l'enregistrement</t>
  </si>
  <si>
    <t>R_UI_PAGE_SESSION_04</t>
  </si>
  <si>
    <t>R_UI_PAGE_SESSION_05</t>
  </si>
  <si>
    <t>CCTP 1,8  3,2,3,6
Atelier #1</t>
  </si>
  <si>
    <t>CCTP 3,2,3,7</t>
  </si>
  <si>
    <t>CCTP 3,2,3,8</t>
  </si>
  <si>
    <t>CCTP 3,2,4</t>
  </si>
  <si>
    <t>R_UI_PAGE_SESSION_06</t>
  </si>
  <si>
    <t>CCTP 3,2,3,5</t>
  </si>
  <si>
    <t>A  la réservation, si la session est réservée pour une durée supérieure à 6 h : une pop-in avertit l'utilisateur que le fichier de la vidéo enregistrée sera très gros et qu'en aucun cas l'enregistrement ne dépassera 8h</t>
  </si>
  <si>
    <t>CCTP 3,2,3,9</t>
  </si>
  <si>
    <t>CCTP 3,2,3,9
Atelier #2</t>
  </si>
  <si>
    <t>CCTP 3,2,7
Atelier #1</t>
  </si>
  <si>
    <t>CCTP 1,8  3,2,7</t>
  </si>
  <si>
    <t>CCTP 3,2,4
Atelier #2</t>
  </si>
  <si>
    <t>R_UI_PAGE_AGENDA_07</t>
  </si>
  <si>
    <t>L'utilisateur fermant une salle doit fournir une date de début de fermeture</t>
  </si>
  <si>
    <t>L'utilisateur fermant une salle doit fournir une date de fin de fermeture (qui peut être très lointaine)</t>
  </si>
  <si>
    <t>La page de validation des réservations de salle doit afficher la liste des réservations de salle dont la validation est affectée à l'utilisateur courant.</t>
  </si>
  <si>
    <t xml:space="preserve">La validation doit être acceptée ou refusée par l'un des gestionnaires affectés à cette salle. </t>
  </si>
  <si>
    <t>La page de validation des réservations de salle permet de trier les demandes</t>
  </si>
  <si>
    <t>La page de validation des réservations de salle permet de paginer les demandes</t>
  </si>
  <si>
    <t>En tant qu'utilisateur portail, je veux avoir accès à du reporting automatique</t>
  </si>
  <si>
    <t>R_UI_PAGE_STAT_02</t>
  </si>
  <si>
    <t>R_UI_PAGE_STAT_03</t>
  </si>
  <si>
    <t>R_UI_PAGE_STAT_04</t>
  </si>
  <si>
    <t>R_UI_PAGE_STAT_05</t>
  </si>
  <si>
    <t>R_UI_PAGE_STAT_06</t>
  </si>
  <si>
    <t>R_UI_PAGE_STAT_07</t>
  </si>
  <si>
    <t>R_UI_PAGE_STAT_08</t>
  </si>
  <si>
    <t>R_UI_PAGE_STAT_09</t>
  </si>
  <si>
    <t>R_UI_PAGE_STAT_10</t>
  </si>
  <si>
    <t>R_UI_PAGE_STAT_11</t>
  </si>
  <si>
    <t>R_UI_PAGE_STAT_12</t>
  </si>
  <si>
    <t>R_UI_PAGE_STAT_13</t>
  </si>
  <si>
    <t>R_UI_PAGE_STAT_14</t>
  </si>
  <si>
    <t>R_UI_PAGE_STAT_15</t>
  </si>
  <si>
    <t>R_UI_PAGE_STAT_16</t>
  </si>
  <si>
    <t>R_UI_PAGE_STAT_17</t>
  </si>
  <si>
    <t>R_UI_PAGE_STAT_18</t>
  </si>
  <si>
    <t>R_UI_PAGE_STAT_19</t>
  </si>
  <si>
    <t>R_UI_PAGE_STAT_20</t>
  </si>
  <si>
    <t>R_UI_PAGE_SESSION_07</t>
  </si>
  <si>
    <t>R_UI_PAGE_SESSION_08</t>
  </si>
  <si>
    <t>R_UI_PAGE_SESSION_09</t>
  </si>
  <si>
    <t>R_UI_PAGE_SESSION_11</t>
  </si>
  <si>
    <t>R_UI_PAGE_SESSION_12</t>
  </si>
  <si>
    <t>R_UI_PAGE_SESSION_13</t>
  </si>
  <si>
    <t>R_UI_PAGE_SESSION_14</t>
  </si>
  <si>
    <t>R_UI_PAGE_SESSION_15</t>
  </si>
  <si>
    <t>la recherche de salle est utilisée dans la page Agenda et dans la page de création / modification de session</t>
  </si>
  <si>
    <t>R_UI_RECHERCHE_SALLE_01</t>
  </si>
  <si>
    <t>R_UI_FERMETURE_SALLE_01</t>
  </si>
  <si>
    <t>R_UI_FERMETURE_SALLE_02</t>
  </si>
  <si>
    <t>R_UI_FERMETURE_SALLE_03</t>
  </si>
  <si>
    <t>R_UI_FERMETURE_SALLE_04</t>
  </si>
  <si>
    <t>R_UI_FERMETURE_SALLE_05</t>
  </si>
  <si>
    <t>R_UI_FERMETURE_SALLE_06</t>
  </si>
  <si>
    <t>Depuis la vue agenda, l'utilisateur voit les salles "fermées" et peut en voir la cause</t>
  </si>
  <si>
    <t>CCTP1,8  3.2.2
Atelier #2</t>
  </si>
  <si>
    <t>R_UI_PAGE_AGENDA_08</t>
  </si>
  <si>
    <t>R_UI_PAGE_AGENDA_10</t>
  </si>
  <si>
    <t>R_UI_PAGE_VALIDATION_02</t>
  </si>
  <si>
    <t>R_UI_PAGE_VALIDATION_03</t>
  </si>
  <si>
    <t>R_UI_PAGE_VALIDATION_04</t>
  </si>
  <si>
    <t>R_UI_PAGE_VALIDATION_05</t>
  </si>
  <si>
    <t>R_UI_PAGE_VALIDATION_06</t>
  </si>
  <si>
    <t>R_UI_PAGE_VALIDATION_07</t>
  </si>
  <si>
    <t>R_UI_PAGE_VALIDATION_08</t>
  </si>
  <si>
    <t>R_UI_PAGE_VALIDATION_09</t>
  </si>
  <si>
    <t>R_UI_PAGE_VALIDATION_10</t>
  </si>
  <si>
    <t>R_UI_PAGE_VALIDATION_11</t>
  </si>
  <si>
    <t>CCTP 1.8
3.8.1.3
Atelier #2</t>
  </si>
  <si>
    <t xml:space="preserve">Toutes les caractéristiques d'une session doivent pouvoir être modifiées (sauf l'organisateur lié à la session web de l'utilisateur connecté) </t>
  </si>
  <si>
    <t>R_UI_PAGE_SESSION_16</t>
  </si>
  <si>
    <t xml:space="preserve">Une aide à l'utilisateur devra être fourni pour éclaircir les raisons d'une impossibilité de modification (Ex. horaire non modifiable si le délai de validation n'est pas respecté) </t>
  </si>
  <si>
    <t>R_UI_PAGE_SESSION_17</t>
  </si>
  <si>
    <t>R_FONC_SESSION_MAJ_03</t>
  </si>
  <si>
    <t>R_UI_PAGE_SESSION_18</t>
  </si>
  <si>
    <t>R_UI_PAGE_SESSION_19</t>
  </si>
  <si>
    <t>R_UI_PAGE_SESSION_20</t>
  </si>
  <si>
    <t>R_FONC_SESSION_MAJ_04</t>
  </si>
  <si>
    <t xml:space="preserve">La modification de présentateur et/ou de propriétaire de la vidéo doit être signaler par mail à l'ancien présentateur et/ou de propriétaire. Par la suite, ces anciennes personnes ne recevront plus de notifications de changement. </t>
  </si>
  <si>
    <t>Une modification de session engendre un mail de modification de session à l'organisateur, au présentateur et propriétaire de la vidéo. (Cf R_FONC_MAIL pour le détail du mail)</t>
  </si>
  <si>
    <t>R_FONC_EMAIL_11</t>
  </si>
  <si>
    <t>R_FONC_EMAIL_12</t>
  </si>
  <si>
    <t>Un mail de suppression/modification de session doit contenir le statut de la personne ayant fait la modification (pas son nom directement)</t>
  </si>
  <si>
    <t>R_FONC_CO2_GENERAL_01</t>
  </si>
  <si>
    <t>R_FONC_CO2_GENERAL_02</t>
  </si>
  <si>
    <t>R_FONC_CO2_METHODE_01</t>
  </si>
  <si>
    <t>L’éco-calculateur Visioconférence permet d’estimer
  - les émissions de CO2 "générées" par la visioconférence (1 session)
  - les émissions de CO2 "qui auraient été générées" grâce à l’utilisation de la visioconférence qui auraient être émises si les personnes s’étaient déplacées pour une conférence « physique », en faisant des hypothèses sur le lieu de rencontre et les modes de transports
  - les émissions de CO2 "évitées" = la différence entre les 2 premiers.</t>
  </si>
  <si>
    <t>R_FONC_CO2_METHODE_02</t>
  </si>
  <si>
    <t>Le calculateur donne des valeurs en kCO²</t>
  </si>
  <si>
    <t>R_FONC_CO2_METHODE_03</t>
  </si>
  <si>
    <t>Le bilan restitue les émissions de CO2 pour chaque poste considéré, conformément à la méthodologie réglementaire. Chaque poste considéré sera expliqué et l’agrégation de l’ensemble des postes sera représentative des émissions liées à l’activité de visioconférence (CO2 "généré") ou de réunion physique (CO2 "aurait été généré").</t>
  </si>
  <si>
    <t>R_FONC_CO2_METHODE_04</t>
  </si>
  <si>
    <t>S’appuyant sur la norme ISO 14064-1, l’article R. 229-47 du code de l’environnement précise une distinction des émissions selon les deux catégories (également appelées « scope » dans d’autres référentiels) présentées ci-dessous.
  1- Les émissions directes, produites par les sources, fixes et mobiles (catégorie ou scope 1).
  2- Les émissions indirectes associées à la consommation d’électricité (catégorie ou scope 2).</t>
  </si>
  <si>
    <t>R_FONC_CO2_METHODE_05</t>
  </si>
  <si>
    <t>Les émissions de catégorie ou scope 3 ne sont pas prises en compte dans le bilan.</t>
  </si>
  <si>
    <t>R_FONC_CO2_METHODE_06</t>
  </si>
  <si>
    <t>L’évaluation de l’impact des consommations d’électricité dans le bilan d’émissions de
GES est réalisée sur la base des facteurs d’émission des usages : chauffage,
éclairage, usage en base, usage intermittent figurant dans la Base Carbone®.</t>
  </si>
  <si>
    <t>R_FONC_CO2_METHODE_07</t>
  </si>
  <si>
    <t>Pour le calcul des émissions indirectes liées à la consommation d’électricité, les paramètres clés identifiés sont : 
D’un point de vue général pour les émissions :
  - Distinction des usages : chauffage, éclairage, usage en base, usage intermittent
D’un point de vue général pour l’estimation des consommations :
  - Puissance de l’équipement
  - Période d’utilisation</t>
  </si>
  <si>
    <t>R_FONC_CO2_METHODE_08</t>
  </si>
  <si>
    <t>Le bilan utilise les facteurs d’émission de la Base Carbone® suivant pour le scope 1 : 
  - Voiture particulière - puissance fiscale moyenne, motorisation moyenne = 0.253 kgCO2e/km
  - Train grandes lignes = 5.60E-3 kgCO2e/passager.km 
  - Avion (voyageurs) - 180-250 sièges, trajet de 0-1000 km = 0.293 kgCO2e/passager.km
  - Métro = 5.70E-3 kgCO2e/passager.km
  - Autobus - agglomérations de moins de 150 000 habitants = 0.182 kgCO2e/passager.km
  - Autobus - agglomérations de 150 000 à 250 000 habitants = 0.167 kgCO2e/passager.km
  - Autobus - agglomérations de plus de 250 000 habitants = 0.154 kgCO2e/passager.km
  - Service - Télécommunications = 170 kgCO2e/keuro
  - Service - Hébergement et restauration = 320 kgCO2e/keuro
  - Electricité - 2014 - mix moyen - consommation = 0.082 kgCO2e/kWh
  - Tertiaire, bureaux = 283 kWh / m².an
  - Service - Services ingénierie, maintenance = 170 kgCO2e/keuro</t>
  </si>
  <si>
    <t>R_FONC_CO2_METHODE_09</t>
  </si>
  <si>
    <t>Le bilan utilise les facteurs d’émission de la Base Carbone® suivant pour le scope 2 : 
  - Electricité - 2014 - mix moyen - consommation = 0.082 kgCO2e/kWh
  - Electricité - 2009 - usage : Climatisation tertiaire - consommation = 0.042 kgCO2e/kWh</t>
  </si>
  <si>
    <t>R_FONC_CO2_METHODE_10</t>
  </si>
  <si>
    <t>Conformément aux exigences de la norme ISO 14064-1, le bilan doit :
  - sélectionner et utiliser des méthodologies d’évaluation qui réduiront raisonnablement l’incertitude et donneront lieu à des résultats exacts, cohérents et reproductibles
  - expliquer la sélection des méthodologies d’évaluation
  - expliquer toutes modifications apportées aux méthodologies d’évaluation d’un exercice à l’autre.</t>
  </si>
  <si>
    <t>R_FONC_CO2_METHODE_11</t>
  </si>
  <si>
    <t>Les facteurs d’émission permettent de convertir une donnée d’activité en quantité de gaz émise:  Emission GES = Données d'activité x Facteur d'émission</t>
  </si>
  <si>
    <t>R_FONC_CO2_METHODE_12</t>
  </si>
  <si>
    <t>La multiplication de cette quantité par le PRG du gaz étudié permet de quantifier l’impact climatique dont l’unité est la tonne équivalent dioxyde de carbone notée tCO2e
Le PRG pour le gaz CO2 est de 1.</t>
  </si>
  <si>
    <t>R_FONC_CO2_METHODE_13</t>
  </si>
  <si>
    <t>Le bilan d’émissions de GES doit présenter de manière obligatoire les points suivants :
  - l’année de reporting et le mode de consolidation
  - les émissions directes de GES, quantifiées séparément par poste et pour chaque GES en tonnes équivalent CO2 (tCO2e)
  - les émissions indirectes de GES associées à la consommation d’électricité quantifiées séparément par poste et en tonnes équivalent CO2,</t>
  </si>
  <si>
    <t>R_FONC_CO2_METHODE_14</t>
  </si>
  <si>
    <t>Les émissions directes de GES pour le scope 1 sont:
  - Poste 1 : Emissions directes des sources fixes de combustion
             - Utilisation d'un réseau de communication (CO2 "généré")
             - Utilisation d'un ensemble de salles : principale et distante(s)   (CO2 "généré")
             - Transport de personnes (CO2 "aurait été généré")
             - Utilisation d'une salle   (CO2 "aurait été généré")
             - Nuit d'hôtel  (CO2 "aurait été généré")
  - Poste 2 : Emissions directes des sources mobiles
             - Utilisation des équipements nomades si utilisés (CO2 "généré")
  - Poste 3 : Emissions directes des procédés hors énergie
             - N/A donc 0
  - Poste 4 : Emissions directes fugitives
            - Consommation électrique des 2 infrastructures Datacenter moyennée par le nombre de session annuelle (CO2 "généré")
            - Maintenance/support informatique de la solution
  - Poste 5 : Emissions issues de la biomasse (sols et forêts)
            - N/A donc 0</t>
  </si>
  <si>
    <t>R_FONC_CO2_METHODE_15</t>
  </si>
  <si>
    <t>Les émissions indirectes de GES pour le scope 2 sont:
  - Poste 6 : Emissions indirectes liées à la consommation d’électricité
             - Consommation électrique réelle des équipements localisés dans les salles utilisées pendant une visioconférence (CO2 "généré")
             - Consommation électrique réelle des équipements nomades si utilisés (CO2 "généré")
             - Consommation électrique réelle des équipements de la salle de substitution (CO2 "aurait été généré")
  - Poste 7 : Emissions indirectes liées à la consommationde vapeur, chaleur ou froid
           - Consommation électrique pour la climatisation des 2 infrastructures Datacenter moyennée par le nombre de session annuelle (CO2 "généré")</t>
  </si>
  <si>
    <t>R_FONC_CO2_CONFIGURATION_01</t>
  </si>
  <si>
    <t>Le nombre de session annuelle est recalculé le 1er janvier avec les données de l'année précédente pour prise en compte dans le calcul du bilan carbone pour l'année en cours = [NB Sessions année N-1]</t>
  </si>
  <si>
    <t>R_FONC_CO2_CONFIGURATION_02</t>
  </si>
  <si>
    <t>Pour le calcul du coût CO2 du transport "aurait été généré", la distance entre 2 salles est configurée statiquement dans le système  = [distance salle principale et distante]</t>
  </si>
  <si>
    <t>R_FONC_CO2_CONFIGURATION_03</t>
  </si>
  <si>
    <t>Pour le calcul du coût CO2 du transport "aurait été généré", le type de déplacement entre 2 salles est configuré statiquement dans le système parmi
- Transport en commun
- Voiture
- Train
- Avion</t>
  </si>
  <si>
    <t>R_FONC_CO2_CONFIGURATION_04</t>
  </si>
  <si>
    <t>R_FONC_CO2_CONFIGURATION_05</t>
  </si>
  <si>
    <t>Pour le calcul du coût CO2 du transport "aurait été généré", le type de déplacement entre 1 salle et le compte nomade est configuré statiquement dans le système parmi
- Transport en commun
- Voiture
- Train
- Avion</t>
  </si>
  <si>
    <t>R_FONC_CO2_CONFIGURATION_06</t>
  </si>
  <si>
    <t>Si le type de transport est "le transport en commun" une distance de déplacement en transport en commun et la taille de l'agglomération sont ajoutées (pour le parcours Gare --&gt; Salle) pour chaque salle</t>
  </si>
  <si>
    <t>R_FONC_CO2_CONFIGURATION_07</t>
  </si>
  <si>
    <t>Si le type de transport est "le train", une distance de déplacement en transport en commun et la taille de l'agglomération sont ajoutées (pour le parcours Gare --&gt; Salle) pour chaque salle</t>
  </si>
  <si>
    <t>R_FONC_CO2_CONFIGURATION_08</t>
  </si>
  <si>
    <t>Si le type de transport est "l'Avion", une distance de déplacement en transport en commun et la taille de l'agglomération sont ajoutées (pour le parcours Aéroport --&gt; Salle) pour chaque salle</t>
  </si>
  <si>
    <t>R_FONC_CO2_CONFIGURATION_09</t>
  </si>
  <si>
    <t>Pour le calcul CO2 "généré" de la visioconférence, la consommation électrique de tous les équipements pour chaque salle est configurée dans le système = [Consommation visio salle principale en KWh] ou [Consommation visio salle distante N en KWh]
Exemple : 
- Ordinateur portable
- Vidéo projecteur
- Type de salle (1h de TP/TPI c’est 10 fois une heure de visio TA/TD en kwh/heure) 
- Visio
- Serveur physique 
- Switch
- Routeur
- Ecran plat
- Webcam   (le nombre dépend du type de salle : TP = 3 sinon 2)</t>
  </si>
  <si>
    <t>R_FONC_CO2_CONFIGURATION_10</t>
  </si>
  <si>
    <t>Pour le calcul CO2 "généré" de la visioconférence, la consommation électrique de tous les équipements des 2 datacenter est configurée dans le système = [conso datacenter en KW/an]</t>
  </si>
  <si>
    <t>R_FONC_CO2_CONFIGURATION_11</t>
  </si>
  <si>
    <t>Pour le calcul CO2 "généré" de la visioconférence, la consommation électrique de la climatisation des 2 datacenter est configurée dans le système = [conso climatisation en KW/an]</t>
  </si>
  <si>
    <t>R_FONC_CO2_CONFIGURATION_12</t>
  </si>
  <si>
    <t>R_FONC_CO2_CONFIGURATION_13</t>
  </si>
  <si>
    <t>Pour le calcul CO2 "aurait été généré", la consommation électrique des équipements nécessaire à la tenue de la réunion dans la salle est configurée dans le système = [Consommation équipements salle hors visio en KWh]
Exemple : 
- Ordinateur portable
- Vidéo projecteur</t>
  </si>
  <si>
    <t>R_FONC_CO2_CONFIGURATION_14</t>
  </si>
  <si>
    <t>R_FONC_CO2_CONFIGURATION_15</t>
  </si>
  <si>
    <t>R_FONC_CO2_CONFIGURATION_16</t>
  </si>
  <si>
    <t>Pour le calcul CO2 "généré", la surface de chaque salle est configurée dans le système = [Surface de la salle]</t>
  </si>
  <si>
    <t>R_FONC_CO2_CONFIGURATION_17</t>
  </si>
  <si>
    <t>Pour le calcul CO2 "aurait été généré", la surface d'une salle de substitution est configurée dans le système = [Surface de la salle de substitution]</t>
  </si>
  <si>
    <t>R_FONC_CO2_CONFIGURATION_18</t>
  </si>
  <si>
    <t>R_FONC_CO2_CONFIGURATION_19</t>
  </si>
  <si>
    <t>Pour le calcul CO2 "généré", le coût annuel de la maintenance et support applicatif est configuré dans le système = [Coût support en K€/an]</t>
  </si>
  <si>
    <t>R_FONC_CO2_CONFIGURATION_20</t>
  </si>
  <si>
    <t>Pour le calcul CO2 "généré", le coût annuel du service de communication est configuré dans le système = [Coût communication en K€/an]</t>
  </si>
  <si>
    <t>R_FONC_CO2_MAJ_CONFIGURATION_01</t>
  </si>
  <si>
    <t>La configuration des seuils Bilan Carbone de l'Ademe doivent être mis à jour tous les ans si nécessaire</t>
  </si>
  <si>
    <t>R_FONC_CO2_MAJ_CONFIGURATION_02</t>
  </si>
  <si>
    <t>La configuration des données statiques pour le calcul CO2 doit pouvoir être modifié facilement. 
Exemples: 
  - Ajout/changement d'un équipement et de sa consommation dans une salle
  - Changement du mode de transport entre 2 salles</t>
  </si>
  <si>
    <t>R_FONC_CO2_POSTE_1_GENERAL_01</t>
  </si>
  <si>
    <t>R_FONC_CO2_POSTE_1_GENERAL_02</t>
  </si>
  <si>
    <t>CO2 "généré" et "aurait été généré"
C’est le nombre de salles réellement connectées et non pas les salles identifiées dans la réservation qui détermine le calcul</t>
  </si>
  <si>
    <t>R_FONC_CO2_POSTE_1_RESEAU_01</t>
  </si>
  <si>
    <t xml:space="preserve">CO2 "généré"
Les services réseaux nécessitent le fonctionnement d’équipements informatiques et télécoms qui, à l’instar des serveurs informatiques, consomment de l’énergie. Pour chaque session de visioconférence, le coût CO2 est ajouté au compteur "CO2 "généré"" avec la formule suivante : 
[Service Télécommunication] x [Coût communication en K€/an] x [durée visio] + 
[Service Télécommunication] x [Coût communication en K€/an] x [durée de connexion salle distante 1] +
.... +
[Service Télécommunication] x [Coût communication en K€/an] x [durée de connexion salle distante N]  </t>
  </si>
  <si>
    <t>R_FONC_CO2_POSTE_1_RESEAU_02</t>
  </si>
  <si>
    <t>CO2 "généré"
La formule du coût réseau est appliquée entre la salle principale et chaque salle distante et entre la salle principale et chaque compte nomade</t>
  </si>
  <si>
    <t>R_FONC_CO2_POSTE_1_VISIO_01</t>
  </si>
  <si>
    <t>R_FONC_CO2_POSTE_1_VISIO_02</t>
  </si>
  <si>
    <t>CO2 "généré"
Une visioconférence nécessitent l'utilisation de plusieurs salles. Pour chaque session de visioconférence, le coût CO2 est ajouté au compteur "CO2 "généré"" avec la formule suivante :
[Tertiaire, bureaux] x [Surface de la salle principale] x [durée visio] +   
[Tertiaire, bureaux] x [Surface  de la salle distante 1] x [durée de connexion salle distante 1] +
.... +
[Tertiaire, bureaux] x [Surface  de la salle distante N] x [durée de connexion salle distante N]</t>
  </si>
  <si>
    <t>R_FONC_CO2_POSTE_1_VISIO_03</t>
  </si>
  <si>
    <t>CO2 "généré"
La formule du coût salle est appliquée entre la salle principale et chaque salle distante et entre la salle principale et chaque compte nomade</t>
  </si>
  <si>
    <t>R_FONC_CO2_POSTE_1_TRANSPORT_01</t>
  </si>
  <si>
    <t>CO2 "aurait été généré"
Le transport "aurait été généré" du nombre de personne pour toutes les salles distantes est ajouté au compteur CO2 "aurait été généré" avec la formule suivante si le type de transport est le transport en commun 
[Autobus - agglomérations X] x [nb Participants] x [distance salle principale et distante] x 2</t>
  </si>
  <si>
    <t>R_FONC_CO2_POSTE_1_TRANSPORT_02</t>
  </si>
  <si>
    <t>CO2 "aurait été généré"
Le transport "aurait été généré" du nombre de personne pour toutes les salles distantes est ajouté au compteur CO2 "aurait été généré" avec la formule suivante si le type de transport est la voiture: 
[Voiture particulière - puissance fiscale moyenne, motorisation moyenne ] x [nb Participants] x [distance salle principale et distante] x 2</t>
  </si>
  <si>
    <t>R_FONC_CO2_POSTE_1_TRANSPORT_03</t>
  </si>
  <si>
    <t>CO2 "aurait été généré"
Le transport "aurait été généré" du nombre de personne pour toutes les salles distantes est ajouté au compteur CO2 "aurait été généré" avec la formule suivante si le type de transport est le train 
[Train grandes lignes ] x [nb Participants] x [distance salle principale et distante] x 2 + 
[Autobus - agglomérations XXX] x [nb Participants] x [distance Gare --&gt; Salle] x 2</t>
  </si>
  <si>
    <t>R_FONC_CO2_POSTE_1_TRANSPORT_04</t>
  </si>
  <si>
    <t>CO2 "aurait été généré"
Le transport "aurait été généré" du nombre de personne pour toutes les salles distantes est ajouté au compteur CO2 "aurait été généré" avec la formule suivante si le type de transport est l'avion 
[Avion (voyageurs) ] x [nb Participants] x [distance salle principale et distante] x 2 + 
[Autobus - agglomérations XXX] x [nb Participants] x [distance Aéroport --&gt; Salle] x 2</t>
  </si>
  <si>
    <t>R_FONC_CO2_POSTE_1_TRANSPORT_05</t>
  </si>
  <si>
    <t>R_FONC_CO2_POSTE_1_TRANSPORT_06</t>
  </si>
  <si>
    <t>CO2 "aurait été généré"
Transport "aurait été généré" pour la salle principale. La distance sera 0</t>
  </si>
  <si>
    <t>R_FONC_CO2_POSTE_1_TRANSPORT_07</t>
  </si>
  <si>
    <t>CO2 "aurait été généré"
L'utilisation de la salle de substitution est ajouté au compteur CO2 "aurait été généré" avec la formule suivante 
[Tertiaire, bureaux] x [Surface de la salle de substitution] x [durée]</t>
  </si>
  <si>
    <t>R_FONC_CO2_POSTE_1_SALLE_01</t>
  </si>
  <si>
    <t>CO2 "aurait été généré"
Une réunion en physique nécessitent l'utilisation d'une salle. Le coût CO2 "aurait été généré" de l'utilisation d'une salle est ajouté au compteur CO2 "aurait été généré" avec la formule suivante :
[Tertiaire, bureaux] x [Surface de la salle de substitution] x [durée visio]</t>
  </si>
  <si>
    <t>R_FONC_CO2_POSTE_1_HOTEL_01</t>
  </si>
  <si>
    <t>CO2 "aurait été généré"
Si une nuit d'hôtel est nécessaire, la consommation est ajoutée au compteur CO2 "aurait été généré" avec la formule suivante 
[Service - Hébergement et restauration] x [coût hôtel et restauration en k€]</t>
  </si>
  <si>
    <t>R_FONC_CO2_POSTE_2_NOMADE_01</t>
  </si>
  <si>
    <t>R_FONC_CO2_POSTE_4_DATACENTER_01</t>
  </si>
  <si>
    <t>CO2 "généré"
Les services de visioconférence nécessitent le fonctionnement de 2 datacenters qui consomment de l’énergie. Pour chaque session, le coût CO2 moyenné est ajouté au compteur "CO2 "généré"" avec la formule suivante : 
[Electricité - 2014 - mix moyen - consommation] x ( [conso datacenter en KW/an] /  [NB Sessions année N-1] )</t>
  </si>
  <si>
    <t>R_FONC_CO2_POSTE_4_SUPPORT_01</t>
  </si>
  <si>
    <t>CO2 "généré"
Les services de visioconférence nécessitent le support pour les 2 datacenters et les services applicatifs. Pour chaque session, le coût CO2 moyenné est ajouté au compteur "CO2 "généré"" avec la formule suivante : 
[Service - Services ingénierie, maintenance] x  ( [Coût support K€/an] /  [NB Sessions année N-1] )</t>
  </si>
  <si>
    <t>R_FONC_CO2_POSTE_6_VISIO_01</t>
  </si>
  <si>
    <t>CO2 "généré"
Les services de visioconférence nécessitent le fonctionnement d’équipements dans la salle qui consomment de l’énergie. Pour chaque session de visioconférence, le coût CO2 est ajouté au compteur "CO2 "généré"" avec la formule suivante : 
[Electricité - 2014 - mix moyen - consommation] x [Consommation visio salle principale en KWh] x [durée visio] +   
[Electricité - 2014 - mix moyen - consommation] x [Consommation visio salle distante 1 en KWh] x [durée de connexion salle distante 1] +
.... +
[Electricité - 2014 - mix moyen - consommation] x [Consommation visio salle distante N en KWh] x [durée de connexion salle distante N]</t>
  </si>
  <si>
    <t>R_FONC_CO2_POSTE_6_NOMADE_01</t>
  </si>
  <si>
    <t>R_FONC_CO2_POSTE_6_TRANSPORT_01</t>
  </si>
  <si>
    <t>CO2 "aurait été généré"
La consommation électrique des équipements de la salle de substitution est ajouté au compteur CO2 "aurait été généré" avec la formule suivante 
[Electricité - 2014 - mix moyen - consommation] x [Consommation équipements salle hors visio en KWh] x [durée]</t>
  </si>
  <si>
    <t>R_FONC_CO2_POSTE_7_DATACENTER_01</t>
  </si>
  <si>
    <t>CO2 "généré"
Les services de visioconférence nécessitent le fonctionnement de 2 datacenters qui consomment de l’énergie via la climatisation. Pour chaque session, le coût CO2 moyenné est ajouté au compteur "CO2 "généré"" avec la formule suivante : 
[Electricité - 2014 - mix moyen - consommation] x ( [conso climatisation en KW/an] /  [NB Sessions année N-1] )</t>
  </si>
  <si>
    <t>Méthode réglementaire</t>
  </si>
  <si>
    <t>Un élément de la liste peut être décoché manuellement pour retirer une salle de la sélection en cours.</t>
  </si>
  <si>
    <t>R_UI_PAGE_AGENDA_11</t>
  </si>
  <si>
    <t>R_UI_PAGE_AGENDA_12</t>
  </si>
  <si>
    <t>R_UI_PAGE_SESSION_21</t>
  </si>
  <si>
    <t>R_UI_PAGE_SESSION_22</t>
  </si>
  <si>
    <t>R_UI_PAGE_SESSION_23</t>
  </si>
  <si>
    <t>R_UI_PAGE_SESSION_24</t>
  </si>
  <si>
    <t>R_UI_PAGE_SESSION_25</t>
  </si>
  <si>
    <t>R_UI_PAGE_SESSION_26</t>
  </si>
  <si>
    <t>R_UI_PAGE_SESSION_27</t>
  </si>
  <si>
    <t>R_UI_PAGE_SESSION_28</t>
  </si>
  <si>
    <t>R_UI_PAGE_SESSION_29</t>
  </si>
  <si>
    <t>R_UI_PAGE_SESSION_30</t>
  </si>
  <si>
    <t>R_UI_PAGE_SESSION_31</t>
  </si>
  <si>
    <t>R_UI_PAGE_SESSION_32</t>
  </si>
  <si>
    <t>R_UI_PAGE_SESSION_33</t>
  </si>
  <si>
    <t>R_UI_PAGE_SESSION_34</t>
  </si>
  <si>
    <t>R_FONC_MIGRATION_DONNEES_V1_01</t>
  </si>
  <si>
    <t>R_FONC_CONFIGURATION_SALLES_01</t>
  </si>
  <si>
    <t>Le portail de réservation sera installé sur deux instances serveurs, chacune sur un des Datacenter de L’UBL (Brest, Rennes). Ces deux instances doivent permettre une reprise d’activité en cas de perte d’une d’elles sans aucune perte de données.</t>
  </si>
  <si>
    <t>R_TECH_INFRA_01</t>
  </si>
  <si>
    <t>R_TECH_IHM_01</t>
  </si>
  <si>
    <t>R_TECH_IHM_02</t>
  </si>
  <si>
    <t>La synchronisation des données entre les deux instances devra se faire en temps réel</t>
  </si>
  <si>
    <t>R_TECH_INFRA_02</t>
  </si>
  <si>
    <t>R_TECH_INFRA_03</t>
  </si>
  <si>
    <t>Dans le cas où le portail de réservation fonctionne en mode actif/passif, l’instance active à un instant donné doit se déclarer en tant que telle auprès du portail ICC global.</t>
  </si>
  <si>
    <t xml:space="preserve">Le portail ICC doit « pointer » sur une de ces instances à la fois (portail de réservation actif/passif), ou toutes les deux en même temps (actif/actif). </t>
  </si>
  <si>
    <t>Mise à disposition d'APIs pour permettre aux systèmes de réservation externe de s’interfacer avec le portail de réservation</t>
  </si>
  <si>
    <t>R_TECH_API_01</t>
  </si>
  <si>
    <t>R_TECH_INFRA_04</t>
  </si>
  <si>
    <t>R_TECH_INFRA_05</t>
  </si>
  <si>
    <t>R_TECH_INFRA_06</t>
  </si>
  <si>
    <t>Le portail étant accessible depuis Internet via le réseau Renater, il doit d’être sécurisé et robuste.</t>
  </si>
  <si>
    <t>Le portail mis en place par Le prestataire devra permettre la connexion simultanée de 200 personnes sur l’ensemble des utilisateurs de l’UBL, soit, environ 15 000 utilisateurs.</t>
  </si>
  <si>
    <t xml:space="preserve">L’UBL regroupe les utilisateurs suivants :
• 2 700 doctorants
• 8 500 personnels dans la recherche
• 149 laboratoires
• Le personnel administratif de l’UBL et des établissements
</t>
  </si>
  <si>
    <t xml:space="preserve">Le portail devra s’intégrer dans le cœur IT mis en place chez le client et doit supporter, à minima, les caractéristiques suivantes :
Virtualisation sur machine virtuelle (VM) avec les caractéristiques suivantes
o ESX = version 5.5.0
o VM = version 8
o vSphere (ou vCenter) = 5.5
</t>
  </si>
  <si>
    <t>Assurer une redondance géographique sur 2 salles serveurs en mode actif/actif. En cas de mise en place d’un système actif/passif, mise en place d’un système de notifications pour identifier le serveur actif</t>
  </si>
  <si>
    <t>Assurer l’intégrité, la pérennité et la réplication en temps réel des informations entrées et gérées par le système sur l’ensemble des serveurs : réservation, logs…</t>
  </si>
  <si>
    <t>Le portail doit être mis en œuvre dans une DMZ</t>
  </si>
  <si>
    <t>R_TECH_INFRA_07</t>
  </si>
  <si>
    <t>R_TECH_INFRA_08</t>
  </si>
  <si>
    <t>R_TECH_INFRA_09</t>
  </si>
  <si>
    <t>R_TECH_INFRA_10</t>
  </si>
  <si>
    <t>R_TECH_INFRA_11</t>
  </si>
  <si>
    <t>Les données de réservations sont fournies dans un format csv</t>
  </si>
  <si>
    <t>R_FONC_MIGRATION_DONNEES_V1_02</t>
  </si>
  <si>
    <t>R_FONC_CHANGEMENTS_01</t>
  </si>
  <si>
    <t>R_FONC_CHANGEMENTS_02</t>
  </si>
  <si>
    <t>Dans le cas de suppression d'une salle, les statistiques passées (usage ou bilan carbone) sont conservées pour cette salle</t>
  </si>
  <si>
    <t>Les éléments ci-dessous devront pouvoir être changé par simple configuration à froid du portail (changement et redémarrage): 
- Ajout / suppression d'une salle
- Modification du nom ou des caractéristiques d'une salle
- Template de mail
- Modification d'une ressource image ou libellé  si le nouvel élément respecte les mêmes caratéristiques : même taille d'image, longeur de texte compatible avec la charte graphique</t>
  </si>
  <si>
    <t xml:space="preserve">Le Prestataire mettra tout en œuvre pour que la sécurité des réseaux  informatiques et des réseaux internes de télécommunication du client et d‘Orange ne soit pas compromise. Il s’engage notamment :
• à mettre à jour son infrastructure et les applicatifs associés pour prévenir toute intrusion dans le système d'information d’Orange ou du client, 
• à mettre en œuvre toutes les mesures organisationnelles et techniques nécessaires pour garantir la sécurité des systèmes, 
</t>
  </si>
  <si>
    <t>R_FONC_CHANGEMENTS_03</t>
  </si>
  <si>
    <t>R_FONC_RAPPORT_01</t>
  </si>
  <si>
    <t>Fourniture du rapport d’usage à Fin de mois + 5 jours afin de fournir le rapport d’usage au client en comité d’exploitation mensuel et également afin de délivrer le rapport trimestriel au format csv.</t>
  </si>
  <si>
    <t>Blocage de la modification des réunions 15 minutes avant le début celle-ci (pour contourner un pb de synchro entre portail et infra Polycom) lié à l’API</t>
  </si>
  <si>
    <t>R_FONC_SESSION_MAJ_05</t>
  </si>
  <si>
    <t>R_UI_PAGE_STAT_21</t>
  </si>
  <si>
    <t>R_UI_FERMETURE_SALLE_07</t>
  </si>
  <si>
    <t xml:space="preserve">Pour les besoins d'exploitation, si une intervention impacte l’infrastructure, on doit pouvoir fermer facilement 
- Toutes les salles d’un site (Beaulieu, Bouguen, Villejean, …)
- Toutes les salles d’une même type (Toutes les TA, toutes les TD, …)
- Toutes les salles du campus
</t>
  </si>
  <si>
    <t>R_TECH_INFRA_12</t>
  </si>
  <si>
    <t xml:space="preserve">Supervision du backup de la BDD backoffice à mettre en place afin de vérifier
- le backup a bien eu lieu selon l’occurrence définie sur le DC Nominal (Rennes)
- le fichier de backup est bien dispo sur le DC de Backup (Brest) et le fichier date de la dernière occurrence de backup de Rennes
</t>
  </si>
  <si>
    <t>Procédure de migration automatisée pour la bascule V1 vers V2</t>
  </si>
  <si>
    <t>R_FONC_MIGRATION_DONNEES_V1_03</t>
  </si>
  <si>
    <t xml:space="preserve">Extension périmètre Spartime
o Disponibilité de la fonction rappel vers l’organisateur alors que la réunion est en-cours
o Gestion des alertes dans le cas de requête Spartime avec réception de code d’erreur avec diffusion par e-mail vers une liste de personne
o Accès des échanges Spartime au niveau des logs sur la base de l’ID de la session ou le nom de la session
</t>
  </si>
  <si>
    <t>R_FONC_DEBUG_01</t>
  </si>
  <si>
    <t xml:space="preserve">Connexion des salles à un pont externe
o Prévoir la déclaration des connexions de salle externe au moment de la réservation
o Prévoir des réservations de sessions avec visio sans connexion à l’infra Campus Bretagne (cas de connexion d’une salle vers un autre pont – Infra Pays de Loire, Renater, …
o Lié à la meilleure visibilité sur la gestion de capacité, prévoir également la déclaration des connexions des nomades au moment de la réservation
</t>
  </si>
  <si>
    <t>R_UI_PAGE_SESSION_35</t>
  </si>
  <si>
    <t xml:space="preserve">Pour le calcul CO2 "aurait été généré", le nombre de personnes par défaut se déplaçant est :
- TA                  90 participants
- TPI                  9 participants
- TD                  15 participants
- TP                  9 participants
</t>
  </si>
  <si>
    <t>R_FONC_CO2_CONFIGURATION_21</t>
  </si>
  <si>
    <t>R_FONC_SESSION_CRT_19</t>
  </si>
  <si>
    <t>La caractéristique "date du statut de facturation" est une date libre (date courante par défaut)</t>
  </si>
  <si>
    <t>R_FONC_SESSION_CRT_20</t>
  </si>
  <si>
    <t>R_UI_PAGE_LISTE_SESSION_01</t>
  </si>
  <si>
    <t>R_UI_PAGE_LISTE_SESSION_02</t>
  </si>
  <si>
    <t>R_UI_PAGE_LISTE_SESSION_03</t>
  </si>
  <si>
    <t xml:space="preserve">La page de validation des réservations de salle  ne doit pas afficher les demandes de réservation de salles d'une session annulée. </t>
  </si>
  <si>
    <t>R_UI_PAGE_VALIDATION_12</t>
  </si>
  <si>
    <t>R_UI_PAGE_VALIDATION_13</t>
  </si>
  <si>
    <t>R_UI_PAGE_VALIDATION_14</t>
  </si>
  <si>
    <t>Un accès à la carte interactive doit être possible dès qu’un nom de salle apparaît. Tous les noms de salle seront des liens hypertexte menant à la bonne page de la carte interactive. (exemple : https://campusnumerique-carte.u-bretagneloire.fr/Rennes_Est.TD1_Beaulieu.html)</t>
  </si>
  <si>
    <t>Ce n'est décrit ni dans le CCTP ni dans les ateliers mais c'est présent sur le portail MEV</t>
  </si>
  <si>
    <t>R_UI_PAGE_SESSION_36</t>
  </si>
  <si>
    <t>54 salles de visioconférence toutes reliées, directement ou indirectement, au réseau Renater et se répartissant comme suit :
• TPI : 4 salles visio‐conférence immersives ou télé‐présence de 18 places ;
• TP : 5 salles de télé‐présence de 6 à 12 places ;
• TP : 7 salles de télé‐présence de 8 à 18 places ;
• TP/ENS : 1 salle de télé‐présence de 40 places ;
• TA : 21 télé‐amphis de 50 à 180 places ;
• TD/TE : 13 salles de travaux dirigés de 20 à 40 places équipées notamment d'un service de visioconférence, d'un tableau blanc interactif, d'un système de projection d'image, d'une sonorisation adaptée et d'un système de sondage.
• TPI : 3 salles de visio‐conférence immersive déjà déployées et dont la gestion devra  être reprise par le Partenaire dans le périmètre du contrat de partenariat dans un délai qui sera défini en cours de dialogue
pour résumer: TPI = 7, TP = 13, TA/TD = 34</t>
  </si>
  <si>
    <t>TD = TE   deux noms pour le même type de salle
La salle ENS est une TP de 40 places et a donc un type différent juste pour elle</t>
  </si>
  <si>
    <t>R_TECH_POLYCOM_01</t>
  </si>
  <si>
    <t>Le nombre de codec d'une salle dépend de son type : 
TPI = 2
TP = 3
TD = 1
TA = 1</t>
  </si>
  <si>
    <t>mail Nathalie Crucet du mar. 18/07/2017 13:10</t>
  </si>
  <si>
    <t>R_TECH_POLYCOM_02</t>
  </si>
  <si>
    <t>R_TECH_POLYCOM_03</t>
  </si>
  <si>
    <t>R_TECH_POLYCOM_04</t>
  </si>
  <si>
    <t xml:space="preserve">Le mail doit mettre en évidence les créneaux horaires où le taux d'occupation des ports dépasse un seuil paramétrable (75% par défaut) </t>
  </si>
  <si>
    <t>R_TECH_POLYCOM_05</t>
  </si>
  <si>
    <t>R_TECH_POLYCOM_06</t>
  </si>
  <si>
    <t>R_TECH_POLYCOM_07</t>
  </si>
  <si>
    <t>R_FONC_EMAIL_13</t>
  </si>
  <si>
    <t>Les demandes sont répartis par l'applicatif POLYCOM. Une même demande ne peut pas être répartie sur deux DC.</t>
  </si>
  <si>
    <t>Les formulaires de création/modification de session permettent une recherche de salle. (cf R_UI_RECHERCHE_SALLE_01)</t>
  </si>
  <si>
    <t xml:space="preserve">Un espace personnel listant les sessions initiées par l’utilisateur connecté doit être accessible du portail </t>
  </si>
  <si>
    <t>Une création de session initiée à partir d'une autre session, est initialisée avec les mêmes paramètres que la session d'origine sauf les horaires. Elle est initiée à la date et heure courante et avec une durée d'une heure.</t>
  </si>
  <si>
    <t>R_FONC_HORAIRE_SESSION_01</t>
  </si>
  <si>
    <t>R_FONC_HORAIRE_SESSION_02</t>
  </si>
  <si>
    <t>R_FONC_HORAIRE_SESSION_03</t>
  </si>
  <si>
    <t>R_FONC_HORAIRE_SESSION_04</t>
  </si>
  <si>
    <t xml:space="preserve">Le statut d'une réservation de salle est parmi : 
En attente
Refusée
Refusée automatiquement (cas d'une fermeture de salle avant validation de la session) 
Validée
Validée automatiquement (cas d'une demande non statuée au terme de délai de validation) </t>
  </si>
  <si>
    <t xml:space="preserve">Une création de session sur les horaires étendues devra faire apparaitre un message d'avertissement à l'utilisateur. </t>
  </si>
  <si>
    <t>Mail de Julien du mer. 19/07/2017 11:32</t>
  </si>
  <si>
    <t>Une création de session est possible uniquement dans les horaires d'ouverture normaux et étendues de la salle.
Les plages d'horaire interdit sont interdits ! (CF R_FONC_HORAIRE_SESSION)</t>
  </si>
  <si>
    <t>Lorsqu'une demande de salle est automatiquement validée, un mail d'avertissement de validation automatique est envoyé aux gestionnaires d'établissement affectés à cette salle. (cf R_FONC_MAIL pour le détail du mail)</t>
  </si>
  <si>
    <t>Une occurrence d'une série de session périodique doit pouvoir être supprimée.</t>
  </si>
  <si>
    <t>R_UI_RECHERCHE_SALLE_02</t>
  </si>
  <si>
    <t>R_UI_RECHERCHE_SALLE_03</t>
  </si>
  <si>
    <t>Depuis la vue Agenda, l'utilisateur peut rechercher les salles pour lesquelles il souhaite voir les réservations (cf R_UI_RECHERCHE_SALLE_01)</t>
  </si>
  <si>
    <t>CCTP 1,8
3,2,1,1
Atelier 2 diapo 13</t>
  </si>
  <si>
    <t>R_UI_RECHERCHE_SALLE_04</t>
  </si>
  <si>
    <t>R_UI_RECHERCHE_SALLE_05</t>
  </si>
  <si>
    <t>Les élements de la liste de résultat sont cochés par défaut. (et donc leurs agendas s'affichent)</t>
  </si>
  <si>
    <t>Depuis la conciergerie, l'utilisateur visualisant le détail d'une session peut créer une nouvelle session à partir de la session visualisée.</t>
  </si>
  <si>
    <t>R_UI_PAGE_LISTE_SESSION_04</t>
  </si>
  <si>
    <t>Chaque ligne de la liste des sessions est cliquable et permet d'afficher le détail de la session.
Cf. R_UI_DETAIL_SESSION_01</t>
  </si>
  <si>
    <t>R_UI_DETAIL_SESSION_01</t>
  </si>
  <si>
    <t>L'affichage et l'édition des détails d'une session sont restreints selon les droits de l'utilisateur et selon son rôle vis-à-vis d'une session.</t>
  </si>
  <si>
    <t xml:space="preserve">Les modifications de session sont soumises aux mêmes contraintes que lors d'une création de session. (Délai de réservation, salle déjà réservée, droit utilisateur … )
</t>
  </si>
  <si>
    <t>Lors de l'enregistrement d'une modification de session dite périodique, l'utilisateur choisi s'il souhaite modifier uniquement cette occurrence ou également les suivantes.</t>
  </si>
  <si>
    <t>R_UI_PAGE_LISTE_SESSION_05</t>
  </si>
  <si>
    <t>Un refus de demande de salle engendre l'envoi d'un mail de refus de réservation de salle à l'organisateur, au présentateur et gestionnaires d'établissement de cette salle. (cf R_FONC_MAIL pour le détail du mail)</t>
  </si>
  <si>
    <t xml:space="preserve">La page de validation propose un tableau des réservations de salles avec les colonnes suivantes: 
- Statut de réservations 
- Nom de salle
- Nom de session
- Thème de session
- Date de début de session
- Date de fin de session 
- Visio (booléen)
- La récurrence (booléen)
- deux boutons d'action (accepter ou refuser) pour agir sur les réservations directement depuis le tableau </t>
  </si>
  <si>
    <t>R_FONC_SESSION_VALID_02</t>
  </si>
  <si>
    <t>Gestion en BDD, pas de UI</t>
  </si>
  <si>
    <t xml:space="preserve">Les règles de gestion sur les délais de réservation doivent assurer qu'une demande de salle est toujours statuée quand la session démarre. Néanmoins quelques cas peuvent poser problèmes. Exemple: Une salle est réservée pour dans 11 jours avec un délai de réservation de 10 jours. 3 jours plus tard, la salle est fermée pour 2 jours. Le délai de réservation est donc décalé à 12 jours et arrive donc après la date de la session. Cette exigence joue le rôle de garde fou. </t>
  </si>
  <si>
    <t>Les éléments ci-dessous devront pouvoir être changés via un nouveau développement du portail : 
- Ajout d'un champ pour les salles ou les sessions
- Libellé de l'application
- Ajout d'une langue
- Créer un nouveau profil utilisateur
- Changer la charte graphique</t>
  </si>
  <si>
    <t xml:space="preserve">CCTP 3,2,2,2
</t>
  </si>
  <si>
    <t xml:space="preserve">Voir R_FONC_SESSION_VALID_02 pour statuts de validation de session
</t>
  </si>
  <si>
    <t>QI#22</t>
  </si>
  <si>
    <t xml:space="preserve">Le détail d'une session affiche en lecture seule :
- les informations d'une session (en fonction du profil de l'utilisateur)
- la liste des salles associées à la session + statut de validation + option visio
- les actions disponibles pour la session (en fonction du profil utilisateur)
=&gt; (forme à définir: modal, ligne dépliante dans le tableau, panneau dédié à droite du tableau ...) </t>
  </si>
  <si>
    <t xml:space="preserve">Mail de Julien du mer. 19/07/2017 11:32
</t>
  </si>
  <si>
    <t>Dans le cas particulier d'une modification de session dite périodique les champs suivants ne sont pas modifiables :
- paramètres de récurrence
- salles
- créneau horaire
- nom de la session
Un message informe l'utilisateur de la raison pour laquelle ces champs ne sont pas modifiables</t>
  </si>
  <si>
    <t>Le critère de filtre "Nom de la salle" permet une sélection multiple via une liste déroulante de valeurs à cocher. Un champ texte permet de filtrer les valeurs proposées dans la liste. 
Lorsque plusieurs valeurs sont sélectionnées, c'est un OU qui est appliqué sur ce filtre.
(exemple, les salles TP Ensa ou TPI Beaulieu)</t>
  </si>
  <si>
    <t>Depuis la vue Agenda, affichage du détail de la session en cliquant sur une réservation de salle
Cf. R_UI_DETAIL_SESSION_01</t>
  </si>
  <si>
    <t xml:space="preserve">La page de validation permet l'affichage des détails de la session liée à une demande de réservation de salle
Cf. R_UI_DETAIL_SESSION_01 </t>
  </si>
  <si>
    <t>Un mail de rappel de demande validation doit contenir un lien vers la page de validation de demandes de salle, le nom et la date de la session, et le nombre de jours restant avant la validation automatique. (cf R_FONC_VALID_WORKFLOW)</t>
  </si>
  <si>
    <t>R_FONC_SESSION_EXTERNE_01</t>
  </si>
  <si>
    <t>R_FONC_SESSION_EXTERNE_02</t>
  </si>
  <si>
    <t>R_FONC_SESSION_EXTERNE_03</t>
  </si>
  <si>
    <t>Un mail de confirmation de validation de salle doit contenir le nom et la date de la session, et le nom de la salle validée. Le mail contient également le récapitulatif des salles. (statut de validation, code d'accès) (cf R_FONC_VALID_WORKFLOW)</t>
  </si>
  <si>
    <t>R_UI_PAGE_AGENDA_09</t>
  </si>
  <si>
    <t>R_UI_PAGE_AGENDA_13</t>
  </si>
  <si>
    <t>R_UI_PAGE_AGENDA_14</t>
  </si>
  <si>
    <t>R_UI_PAGE_AGENDA_15</t>
  </si>
  <si>
    <t>R_UI_PAGE_SESSION_10</t>
  </si>
  <si>
    <t>CO2 "généré"
Le calcul est basé sur les visioconférences réellement exécutées et non pas sur les informations de réservation.
C’est bien la durée de la conférence réalisée pour chaque salle et non la durée réservée qui détermine le calcul.</t>
  </si>
  <si>
    <t>CO2 "aurait été généré"
Transport "aurait été généré" est calculé si la salle distante est connectée quelque soit la durée de connexion.
Pas de CO2 calculé si la salle ne se connecte pas.</t>
  </si>
  <si>
    <t>Une salle qui ne s'est pas connectée à la session est exclue des statistiques d'usage.</t>
  </si>
  <si>
    <t>Les statistiques d'usage se basent sur les visioconférences réellement exécutées et non pas sur les informations de réservation.
C’est bien la durée de la conférence réalisée pour chaque salle et non la durée réservée qui détermine le calcul</t>
  </si>
  <si>
    <t>R_FONC_STATS_USAGE_02</t>
  </si>
  <si>
    <t>R_FONC_STATS_USAGE_03</t>
  </si>
  <si>
    <t>L'export des données doit être garanti (guider l'utilisateur pour s'assurer qu'une demande d'export aboutira)</t>
  </si>
  <si>
    <t>Le graphique 2 est basé sur une plage de dates (début-fin) avec une durée min de 1 jour et max de 1 an. (année courante par défaut)</t>
  </si>
  <si>
    <t xml:space="preserve">Le graphique 1 est basé sur une plage de dates (début-fin) avec une durée min de 1 semaine et max de 1 an. (année courante par défaut) </t>
  </si>
  <si>
    <t>La fermeture de salle se fait depuis une page web dédiée.
Cette page affiche la liste des fermetures en cours et à venir.
Les fermetures échues ne sont plus visibles dans cette page.</t>
  </si>
  <si>
    <t>JLA : lorsque l'on parle de site, cela correspond-il à la localité d'une salle ? Ou au bâtiment ?</t>
  </si>
  <si>
    <t>R_FONC_SALLE_FERM_04</t>
  </si>
  <si>
    <t>La réouverture d'une salle ayant entrainé un refus automatique ou un retrait de salle n'engendre à posteriori aucune action.</t>
  </si>
  <si>
    <t xml:space="preserve">La fermeture de salle doit pouvoir etre annulée (si pas encore commencée), raccourcie ou prolongée (modification de la date de fin) </t>
  </si>
  <si>
    <t>La vue textuelle du bilan CO2 contient les données brutes sur les sessions :
- Nom session
- Date et heure de début
- Durée
- Emission CO2 "généré"
- Emission CO2  "aurait été généré"
- Emission CO2 "évité"
- Emissions directes des sources fixes de combustion
- Emissions directes des sources mobiles
- Emissions directes fugitives
- Emissions indirectes liées à la consommation d’électricité
- Emissions indirectes liées à la consommationde vapeur, chaleur ou froid
- Emissions directes des sources fixes de combustion
- Emissions indirectes liées à la consommation d’électricité</t>
  </si>
  <si>
    <t>QI#26</t>
  </si>
  <si>
    <t>Mail de modification</t>
  </si>
  <si>
    <t>Depuis la vue Agenda, l'utilisateur peut visualiser les réservations (validées ou en cours de validation).</t>
  </si>
  <si>
    <t>Depuis la vue agenda, un utilisateur peut initier une nouvelle session qui pré-rempliera le formulaire de réservation. 
Les salles affichées dans l'agenda sont sélectionnées par défaut dans le formulaire de réservation.
Le jour et l'heure de réservation sélectionnés sont renseignés par défaut dans le formulaire de réservation.</t>
  </si>
  <si>
    <t xml:space="preserve">Une demande de réservation initiée grâce à un simple bouton, sera initialisée à la date et heure courante et avec une durée d'une heure. </t>
  </si>
  <si>
    <t>La page de validation permet de filtrer les réservations sur le statut de réservation. Les status proposés sont :
- En attente de validation
- Validée (inclus Validée automatiquement)
- Refusée (inclus Refusée automatiquement)</t>
  </si>
  <si>
    <t>R_UI_PAGE_STAT_22</t>
  </si>
  <si>
    <t xml:space="preserve">Les statistiques du bilan CO2 fournissent le graphique suivant :
- Graphique 4 : un graphique avec les 3 courbes du CO2 généré, qui aurait été généré, et qui a été évité. </t>
  </si>
  <si>
    <t xml:space="preserve">Le graphique 1 doit pouvoir être basé sur des données consolidées par semaine ou par mois (par défaut) </t>
  </si>
  <si>
    <t xml:space="preserve">Le graphique 2 doit pouvoir être basé sur des données consolidées par jour, par semaine ou par mois (par défaut) </t>
  </si>
  <si>
    <t xml:space="preserve">Le graphique 3 doit pouvoir être basé sur des données consolidées par semaine ou par mois (par défaut) </t>
  </si>
  <si>
    <t>Le graphique 4 doit pouvoir être basé sur des données consolidées par semaine ou par mois (par défaut) .</t>
  </si>
  <si>
    <t>Le graphique 3 est basé sur une plage de dates (début-fin) avec une durée min de 1 semaine et max de 1 an. (année courante par défaut)</t>
  </si>
  <si>
    <t>Le graphique 4 est basé sur une plage de dates (début-fin) avec une durée min de 1 semaine et max de 1 an. (année courante par défaut)</t>
  </si>
  <si>
    <t>R_UI_PAGE_STAT_23</t>
  </si>
  <si>
    <t>R_UI_PAGE_STAT_24</t>
  </si>
  <si>
    <t>R_UI_PAGE_STAT_25</t>
  </si>
  <si>
    <t>Les statistiques d'usage fournissent les graphiques suivants :
- Graphique 1 : un graphique du nombre de sessions créées/annulées/effectuées sous forme de barres cumulées. (créés = annulées + effectuées)
- Graphique 2 : un graphique de la durée totale de connexion visio.
- Graphique 3 :un graphique de la durée moyenne d'une visio.</t>
  </si>
  <si>
    <t>La vue textuelle permet de filtrer les résultats par les critères suivants : 
- Nom de la session
- L'organisateur 
- Le type de salle
- Si le type visio est activé
- Si des codes Spartime sont actifs</t>
  </si>
  <si>
    <t xml:space="preserve">Un utilisateur refusant une réservation peut ajouter un commentaire de refus depuis la fenêtre de confirmation. </t>
  </si>
  <si>
    <t>Un utilisateur refusant une salle doit choisir une raison parmi une liste de choix finie depuis la fenêtre de confirmation</t>
  </si>
  <si>
    <t>La vue Liste des sessions retourne une liste de sessions à venir sous forme de tableau.
Les colonnes suivantes sont présentes :
- Nom
- Etat
- Date
- Heures
- Statut de validation (*)
(*) si autorisé pour le profil courant
Le tableau est paginé et permet le tri sur les colonnes.</t>
  </si>
  <si>
    <t>Par défaut, seules les sessions en cours ou à venir sont retournées dans le tableau.
Les sessions passées peuvent être affichées en renseignant une période spécifique de recherche.</t>
  </si>
  <si>
    <r>
      <t>Cf. UBL_Portail_V2_DSF Annexe 8.2. Matrice des droits
Les actions comprennent le renvoi de</t>
    </r>
    <r>
      <rPr>
        <b/>
        <sz val="10"/>
        <rFont val="Arial"/>
        <family val="2"/>
      </rPr>
      <t xml:space="preserve"> Mail de notification de réservation de session. </t>
    </r>
  </si>
  <si>
    <r>
      <t xml:space="preserve">Les statistiques d'usage fournissent une vue textuelle contenant les données brutes sur les sessions:
Nom session
Date et heure de début
Date et heure de fin
Durée
Organisateur
Présentateur
Thème
Mode d'affichage
Type de session
</t>
    </r>
    <r>
      <rPr>
        <sz val="10"/>
        <color rgb="FFFF0000"/>
        <rFont val="Arial"/>
        <family val="2"/>
      </rPr>
      <t>Etat (annulée ou effectuée)</t>
    </r>
  </si>
  <si>
    <t xml:space="preserve">Lors de la réservation d’une salle sans visio, un message pop-in doit être présenté à l’utilisateur lui indiquant qu’il a positionné dans sa liste de salles une salle sans visioconférence. </t>
  </si>
  <si>
    <t>Une création de session sur une salle qui sera fermée pendant le délai de validation doit faire apparaitre un avertissement pour expliquer que le délai de validation de réservation sera rallongé d'autant de jours que la fermeture ne dure.</t>
  </si>
  <si>
    <t xml:space="preserve">La caractéristique "tag de session" d'une création de session est une valeurs parmi : UBL (par défaut), Usage annexe, Recette annexe. </t>
  </si>
  <si>
    <t>La caractéristique état de facturation et date d'état de facturation et commentaire d'état de facturation ne sont valuables uniquement si le tag de session est Usage annexe ou Recette annexe. Valable pour la modification et création de session.</t>
  </si>
  <si>
    <t xml:space="preserve">La caractéristique "date de session" d'une création de session correspond à la date planifiée de la session. Date du jour par défaut. </t>
  </si>
  <si>
    <t>QI#25</t>
  </si>
  <si>
    <t>QI#33</t>
  </si>
  <si>
    <t>Un mail de refus automatique de réservation de salle doit contenir le motif de la fermeture de la salle. (cf R_FONC_SALLE_FERM_02)</t>
  </si>
  <si>
    <t>Un mail de modification de session doit contenir le nom et la date de la session et devra mettre en évidence les modifications effectuées (cf R_FONC_SESSION_MAJ)</t>
  </si>
  <si>
    <t>Un mail de suppression de session doit contenir le nom et la date de la session (cf R_FONC_SESSION_SUPP)</t>
  </si>
  <si>
    <t>Un mail d'alerte sur le taux doccupation des ponts doit contenir la liste des créneaux horaire à risque. (cf R_TECH_POLYCOM)</t>
  </si>
  <si>
    <t>Le nombre de ponts disponibles sur les serveurs Polycom est 80 (40 sur le DC de Rennes et 40 sur le DC de Brest)</t>
  </si>
  <si>
    <t xml:space="preserve">Le calcul du nombre de port nécessaire pour une session est le suivant : 
Nombre de ponts = nb total codecs*1.5 + X + Y
avec X = 0 si pas d’enregistrement et 1 avec enregistrement
avec Y = nb salles externes + nb nomade (RPD/RPM)
</t>
  </si>
  <si>
    <t xml:space="preserve">Chaque jour, un mail de taux d'occupation des ponts est envoyé à une liste de diffusion contenant les alertes sur les taux d'occupation des ponts de la semaine prochaine. </t>
  </si>
  <si>
    <t xml:space="preserve">Le taux d'occupation des ponts se calcule par créneau de 15 minutes. C'est le ratio entre les ponts réservés et le nombre de port totale de l'infra POLYCOM (80 actuellement) </t>
  </si>
  <si>
    <t>Mail d'alerte sur le taux d'occupation des ponts</t>
  </si>
  <si>
    <r>
      <t xml:space="preserve">La liste de diffusion contient Nathalie Crucet et doit être configurable
</t>
    </r>
    <r>
      <rPr>
        <b/>
        <sz val="10"/>
        <rFont val="Arial"/>
        <family val="2"/>
      </rPr>
      <t>Mail de prévision d'occupation des ponts</t>
    </r>
  </si>
  <si>
    <t>Il existe trois types d'horaire par rapport aux créations de sessions.
- horaire normal
- horaire étendu
- horaire interdit</t>
  </si>
  <si>
    <t>L'horaire normal est du lundi au vendredi 8h-19h  (les horaires doivent etre configurables)</t>
  </si>
  <si>
    <t>L'horaire étendu est du lundi au vendredi 19h-20h et le samedi 8h-12h  (les horaires doivent etre configurables)</t>
  </si>
  <si>
    <t>L'horaire interdit est tout ce qui est en dehors des horaires normaux et étendus.  (les horaires doivent etre configurables)</t>
  </si>
  <si>
    <t>R_UI_PAGE_SESSION_37</t>
  </si>
  <si>
    <t>La caractéristique "organisateur" d'une création de session correspond au prénom et nom de la personne qui créé la session. Cette information est fournie par les identifiants de connection au portail et n'est pas modifiable,</t>
  </si>
  <si>
    <t>Les caractéristiques "heure de début et de fin" d'une création de session correspondent à des heures au format hh:mm (hh au format 00-23)</t>
  </si>
  <si>
    <t xml:space="preserve">La caractéristique "propriétaire de la video" d'une création de session correspond au prénom, nom, mail de la personne qui aura accès à la vidéo enregistrée. La personne doit être issue de la liste des personnes qui ont un accès au portail. </t>
  </si>
  <si>
    <t>La caractéristique "propriétaire de la video" doit être renseignée si la caractéristique "option d'enregistrement" est positionée à Vrai.  La valeur par défaut est l'organisateur de la session.
Si la caractéristique "option d'enregistrement" est positionnée à Faux, elle ne doit pas pouvoir être renseignée.</t>
  </si>
  <si>
    <t>La récurrence doit être configurée si la caractéristique "récurrence" est positionnée à Vrai.
La récurrence ne doit pas être configurée si la caractéristique "récurrence" est positionnée à Faux.</t>
  </si>
  <si>
    <t>La caractéristique "statut de facturation" est une valeur parmi : pré-réservée, confirmée, facturation émise, facturation émise avec réfaction, paiement perçu.</t>
  </si>
  <si>
    <t>Une modification de session ne doit pas modifier certaines propriétés de la session: identifiant, code de session, code Spartime (sf chgt salle/horaire)</t>
  </si>
  <si>
    <t>La suppression de session entraîne la libération du créneau horaire pour l'ensemble de salles de la session.</t>
  </si>
  <si>
    <t>La caractéristique Nom d'une salle est un champ de texte de taille 255.</t>
  </si>
  <si>
    <t>La caractéristique Localité d'une salle est un champ de texte de taille 255.</t>
  </si>
  <si>
    <t>La caractéristique Bâtiment d'une salle est un champ de texte de taille 255.</t>
  </si>
  <si>
    <t>La caractéristique Nombre de place d'une salle est un entier entre 2 et N.</t>
  </si>
  <si>
    <t xml:space="preserve">
Une salle doit pouvoir etre créée sans système de visio</t>
  </si>
  <si>
    <t>Un refus automatique dû à une fermeture de salle provoque l'envoi d'un mail aux organisateurs et présentateurs des sessions impactées. (CF R_FONC_MAIL pour le détail du mail)</t>
  </si>
  <si>
    <t xml:space="preserve">La fermeture d'une salle sur un créneau horaire où une demande de validation est déjà validée implique que la salle soit retirée de la session. Le processus de modification de session s'applique alors. </t>
  </si>
  <si>
    <t>Une salle avec la caractéristique 'Validation spécifique' positionnée à faux est directement validée sans action manuelle.</t>
  </si>
  <si>
    <t>Une salle avec la caractéristique 'Validation spécifique' positionnée à vrai peut être réservée mais doit etre validée manuellement par un gestionnaire</t>
  </si>
  <si>
    <t>Le délai de validation de la réservation d'une salle varie suivant que la demande soit faîte en horaire normal (5j) ou en horaire étendu (10j). Les délais sont configurables.
Cf R_FONC_HORAIRE_SESSION</t>
  </si>
  <si>
    <t>R_UI_PAGE_SESSION_38</t>
  </si>
  <si>
    <t xml:space="preserve">Depuis la page de détail d'une session, un utilisateur peut demander le renvoi du mail de notification de réservation contenant notamment les codes d'accès Spartime. Cette fonction nommée rappel, doit pouvoir être utilisée avant et pendant la session.  </t>
  </si>
  <si>
    <t>R_FONC_VALID_WORKFLOW_20</t>
  </si>
  <si>
    <t>R_FONC_VALID_WORKFLOW_21</t>
  </si>
  <si>
    <t xml:space="preserve">Lorsqu'une salle dont l'accès est contrôlé par un boitier Spartime est validée, un code d'accès est récupéré via une API dédiée. </t>
  </si>
  <si>
    <r>
      <t xml:space="preserve">R_FONC_DEBUG_01
</t>
    </r>
    <r>
      <rPr>
        <b/>
        <sz val="10"/>
        <rFont val="Arial"/>
        <family val="2"/>
      </rPr>
      <t>Mail de notification d'erreur Spartime</t>
    </r>
  </si>
  <si>
    <t>Mail de notification d'erreur Spartime</t>
  </si>
  <si>
    <t>R_FONC_EMAIL_14</t>
  </si>
  <si>
    <t xml:space="preserve">Un mail de notification d'erreur Spartime doit contenir des détails sur la session qui est à l'origine de l'erreur, le message d'erreur remonté par l'API Spartime et l'heure de l'erreur. </t>
  </si>
  <si>
    <t xml:space="preserve">La caractéristique "rappel" d'une création de session correspond à une valeur numérique. Cette valeur permet de définir le jour d'envoi du mail de rappel (jour de la session - valeur du champ = jour d'envoi du mail de rappel). C'est une valeur optionnelle. Sans valeur, il n'y aura pas de mail de rappel automatique. </t>
  </si>
  <si>
    <t xml:space="preserve">La configuration de la récurrence permet de déclarer une fréquence parmi : tous les jours, tous les jours ouvrés, un jour toutes les semaines, un jour toutes les deux semaines. </t>
  </si>
  <si>
    <t xml:space="preserve">Une salle doit pouvoir être recherchée selon les 4 critères suivants:
* Nom
* Localité
* Type de salle
* Nb Places
Ces critères sont indépendants les uns des autres (ie, la liste des noms n'est pas filtrée par une éventuelle sélection de la localité).
Lorsque plusieurs critères sont renseignés simultanément, seules les salles correspondant à l'ensemble des critères (ET) sont retournées.
La modification d'un filtre met à jour la liste résultat des salles.
</t>
  </si>
  <si>
    <t>Le critère de filtre "Localité de la salle" permet une sélection multiple via une liste déroulante de valeurs à cocher. Un champ texte permet de filtrer les valeurs proposées dans la liste. Les valeurs correspondent aux villes administratives hébergeant des salles.
Lorsque plusieurs valeurs sont sélectionnées, c'est un OU qui est appliqué sur ce filtre.
(exemple, les salles de Brest ou Rennes)</t>
  </si>
  <si>
    <r>
      <t xml:space="preserve">QI#21
</t>
    </r>
    <r>
      <rPr>
        <sz val="10"/>
        <rFont val="Arial"/>
        <family val="2"/>
      </rPr>
      <t>Modifié à l'atelier #8 et en attente de confirmation</t>
    </r>
  </si>
  <si>
    <t>Les statuts de validation suivants sont identifiés pour une session (Ils dépendent des statuts de réservation de chacune des salles associées à la session.)
En attente : toutes les réservations sont En attente
Partiellement refusée : au moins une réservation est Refusée ou Refusée automatiquement
Validée : toutes les réservations sont soit Validée soit Validée automatiquement
Refusée : toutes les réservations sont soit Refusée soit Refusée automatiquement</t>
  </si>
  <si>
    <t xml:space="preserve">Des accès directs aux pages principales du portail de conciergerie devront être possibles depuis le portail ICC.
Sous le menu conciergerie, sont présents les menus suivants : 
- Agenda 
- Sessions
- Validations
- Fermetures 
- Statistiques
- Tickets 
- Mes séances captées (page existante)
- Aide (page existante)
L'affichage des sous-menus dépend du profil de l'utilisateur connecté. </t>
  </si>
  <si>
    <t xml:space="preserve">Les envois de mail automatiques se font à heure fixe configurable. </t>
  </si>
  <si>
    <t>La page de validation des réservations de salle doit afficher les réservations de salles récurrentes déjà validée ou refusée des occurences n'ont pas encore eu lieu.</t>
  </si>
  <si>
    <t>La page de validation des réservations permet de valider ou refuser une demande de réservation de salle. 
Une seule validation/refus est requis pour une session récurrente.</t>
  </si>
  <si>
    <t>Pour refuser une réservation, un utilisateur passe par une fenêtre de confirmation de refus contenant les informations suivantes: 
- Nom de la salle
- Nom session
- Date et heure de la session 
- Organisateur 
- Visio 
- Information sur la récurrence</t>
  </si>
  <si>
    <t>Pour valider une réservation, un utilisateur passe par une fenêtre de confirmation contenant les informations suivantes: 
- Nom de la salle
- Nom session
- Date et heure de la session 
- Organisateur 
- Visio 
- Information sur la récurrence</t>
  </si>
  <si>
    <t>Une demande en cours de validation génére un mail de rappel de validation chaque jours tant qu'elle n'est pas validée ou que le délai de validation n'est pas atteind. Le mail est envoyé à l'ensemble des gestionnaires d'établissement affectés à la salle (cf R_FONC_MAIL pour le détail du mail)</t>
  </si>
  <si>
    <t>Une demande de réservation est validable par les gestionnaires d'établissement affectés à la salle mais également par les gestionnaires UBL</t>
  </si>
  <si>
    <t>Gestionnaire UBL: gère tout ce qui est transverse aux différents établissements</t>
  </si>
  <si>
    <t>Depuis la vue Agenda, l'utilisateur peut choisir la vue : 
- UBL (gestionnaire UBL et gestionnaire conciergerie) 
- "mes réservations" (tous profils sauf étudiant) 
- Salles (tous profils)</t>
  </si>
  <si>
    <t>Les caractéristiques liées à l'état de facturation ne sont modifiables que par un gestionnaire UBL.</t>
  </si>
  <si>
    <t>Un personnel d'établissement ne peut créer une session sans respecter le délai de réservation des salles nécessitant une validation manuelle. Le délai varie selon que la demande soit en horaire standard ou étendu (configurable).
Les gestionnaire UBL, d'établissement ou conciergerie ne sont pas soumis à cette contrainte.</t>
  </si>
  <si>
    <t xml:space="preserve">Gestionnaire conciergerie : gère tout ce qui est lié au portail en lui-même </t>
  </si>
  <si>
    <t>Le gestionnaire conciergerie a le droit de (sans GUI) :
- configurer tous les modules transverses du portail
- ajouter, supprimer ou modifier : établissement, salle, codec, utilisateur dans le système  
- activer ou désactiver la validation des réservations sur une salle</t>
  </si>
  <si>
    <t>R_TECH_SECU_01</t>
  </si>
  <si>
    <t>Toutes les communications du portail sont chiffrées via SSL / HTTPS</t>
  </si>
  <si>
    <t>R_TECH_SECU_02</t>
  </si>
  <si>
    <t>les utilisateurs sont authentifiés via la fédération d'identité</t>
  </si>
  <si>
    <t>R_TECH_DATA_01</t>
  </si>
  <si>
    <t>R_TECH_DATA_02</t>
  </si>
  <si>
    <t>R_TECH_DATA_03</t>
  </si>
  <si>
    <t>R_TECH_DATA_04</t>
  </si>
  <si>
    <t>R_TECH_POLYCOM_08</t>
  </si>
  <si>
    <t>R_TECH_POLYCOM_09</t>
  </si>
  <si>
    <t>R_TECH_POLYCOM_10</t>
  </si>
  <si>
    <t>R_TECH_POLYCOM_11</t>
  </si>
  <si>
    <t>R_TECH_POLYCOM_12</t>
  </si>
  <si>
    <t>R_TECH_POLYCOM_13</t>
  </si>
  <si>
    <t>R_TECH_POLYCOM_14</t>
  </si>
  <si>
    <t>R_TECH_POLYCOM_15</t>
  </si>
  <si>
    <t>R_TECH_POLYCOM_16</t>
  </si>
  <si>
    <t>R_TECH_POLYCOM_17</t>
  </si>
  <si>
    <t>R_TECH_POLYCOM_18</t>
  </si>
  <si>
    <t>R_TECH_POLYCOM_19</t>
  </si>
  <si>
    <t>R_TECH_CNCT_01</t>
  </si>
  <si>
    <t>R_TECH_CNCT_02</t>
  </si>
  <si>
    <t>R_TECH_CNCT_03</t>
  </si>
  <si>
    <t>R_TECH_CNCT_04</t>
  </si>
  <si>
    <t>R_TECH_CNCT_05</t>
  </si>
  <si>
    <t>les images uploadées sur le serveur (Max 100 Mo)</t>
  </si>
  <si>
    <t>les documents uploadés sur le serveur (Max 10 Go)</t>
  </si>
  <si>
    <t>les logs seront purgés de façon hebdomadaire (Max 100 Mo)</t>
  </si>
  <si>
    <t>les backups temporaires de la base de données (Max 10 Go)</t>
  </si>
  <si>
    <t>Le portail doit piloter les équipements Polycom via le DMA 7000 par un web service API REST</t>
  </si>
  <si>
    <t>Les réservations réalisées par les utilisateurs sont répercutées sur les équipements polycom principalement le RMX via le DMA</t>
  </si>
  <si>
    <t>Suivant le type de réservation un profil de conférence est transmis au DMA Polycom</t>
  </si>
  <si>
    <t>Les infrastructures DMA (montées en super cluster) sont enregistrées dans le portail via une adresse DNS unique</t>
  </si>
  <si>
    <t>Si un seul RMX est en ligne, le portail devra systématiquement réserver des template SD (et non plus HD)</t>
  </si>
  <si>
    <t>Le portail doit avoir un compte administrateur sur les infra Polycom</t>
  </si>
  <si>
    <t>Le compte admin doit être identique sur les 2 DMA.</t>
  </si>
  <si>
    <t>Le portail est compatible avec les API polycom 1.7 et supérieur</t>
  </si>
  <si>
    <t>Le DMA communique avec le portail sur le port 9000</t>
  </si>
  <si>
    <t>La salle de visio pour test est paramétrée sur le DMA7000</t>
  </si>
  <si>
    <t>Le portail doit détecter le mode dégradé du RMX Polycom</t>
  </si>
  <si>
    <t>En mode nominal, le portail doit créer le bon profil parmi six templates DMA de conference d'après le profil de réservation</t>
  </si>
  <si>
    <t>En mode dégradé, le portail doit créer le bon profil parmi six templates DMA de conference d'après le profil de réservation</t>
  </si>
  <si>
    <t>Pour chaque session réservée, le portail ouvre une VMR à l'heure des sessions et lance une conférence dans cette VMR</t>
  </si>
  <si>
    <t>En fin de session, le portail termine la conference puis la VMR associée</t>
  </si>
  <si>
    <t>Le portail doit offrir un compte client pour le connecteur</t>
  </si>
  <si>
    <t>Pour le service de captation, le portail doit permettre de récupération des conferences qui ont été enregistrées avec la champs d'enregistrement</t>
  </si>
  <si>
    <t>Pour le service de Télé-information le portail doit permettre la récupération de l'agenda d'une salle particulière</t>
  </si>
  <si>
    <r>
      <rPr>
        <sz val="8"/>
        <rFont val="Arial"/>
        <family val="2"/>
      </rPr>
      <t>UEB_Exigences_Refonte_Portail_Conciergerie_V1.2</t>
    </r>
    <r>
      <rPr>
        <sz val="10"/>
        <rFont val="Arial"/>
        <family val="2"/>
      </rPr>
      <t xml:space="preserve">
R_TECH_SECU_01</t>
    </r>
  </si>
  <si>
    <r>
      <rPr>
        <sz val="8"/>
        <rFont val="Arial"/>
        <family val="2"/>
      </rPr>
      <t>UEB_Exigences_Refonte_Portail_Conciergerie_V1.2</t>
    </r>
    <r>
      <rPr>
        <sz val="10"/>
        <rFont val="Arial"/>
        <family val="2"/>
      </rPr>
      <t xml:space="preserve">
R_TECH_SECU_02</t>
    </r>
    <r>
      <rPr>
        <sz val="11"/>
        <color theme="1"/>
        <rFont val="Calibri"/>
        <family val="2"/>
        <scheme val="minor"/>
      </rPr>
      <t/>
    </r>
  </si>
  <si>
    <r>
      <rPr>
        <sz val="8"/>
        <rFont val="Arial"/>
        <family val="2"/>
      </rPr>
      <t>UEB_Exigences_Refonte_Portail_Conciergerie_V1.2</t>
    </r>
    <r>
      <rPr>
        <sz val="10"/>
        <rFont val="Arial"/>
        <family val="2"/>
      </rPr>
      <t xml:space="preserve">
R_TECH_DATA_01</t>
    </r>
  </si>
  <si>
    <r>
      <rPr>
        <sz val="8"/>
        <rFont val="Arial"/>
        <family val="2"/>
      </rPr>
      <t>UEB_Exigences_Refonte_Portail_Conciergerie_V1.2</t>
    </r>
    <r>
      <rPr>
        <sz val="10"/>
        <rFont val="Arial"/>
        <family val="2"/>
      </rPr>
      <t xml:space="preserve">
R_TECH_DATA_02</t>
    </r>
    <r>
      <rPr>
        <sz val="11"/>
        <color theme="1"/>
        <rFont val="Calibri"/>
        <family val="2"/>
        <scheme val="minor"/>
      </rPr>
      <t/>
    </r>
  </si>
  <si>
    <r>
      <rPr>
        <sz val="8"/>
        <rFont val="Arial"/>
        <family val="2"/>
      </rPr>
      <t>UEB_Exigences_Refonte_Portail_Conciergerie_V1.2</t>
    </r>
    <r>
      <rPr>
        <sz val="10"/>
        <rFont val="Arial"/>
        <family val="2"/>
      </rPr>
      <t xml:space="preserve">
R_TECH_CLT_01</t>
    </r>
  </si>
  <si>
    <r>
      <rPr>
        <sz val="8"/>
        <rFont val="Arial"/>
        <family val="2"/>
      </rPr>
      <t>UEB_Exigences_Refonte_Portail_Conciergerie_V1.2</t>
    </r>
    <r>
      <rPr>
        <sz val="10"/>
        <rFont val="Arial"/>
        <family val="2"/>
      </rPr>
      <t xml:space="preserve">
R_TECH_POLYCOM_02</t>
    </r>
    <r>
      <rPr>
        <sz val="11"/>
        <color theme="1"/>
        <rFont val="Calibri"/>
        <family val="2"/>
        <scheme val="minor"/>
      </rPr>
      <t/>
    </r>
  </si>
  <si>
    <r>
      <rPr>
        <sz val="8"/>
        <rFont val="Arial"/>
        <family val="2"/>
      </rPr>
      <t>UEB_Exigences_Refonte_Portail_Conciergerie_V1.2</t>
    </r>
    <r>
      <rPr>
        <sz val="10"/>
        <rFont val="Arial"/>
        <family val="2"/>
      </rPr>
      <t xml:space="preserve">
R_TECH_POLYCOM_03</t>
    </r>
    <r>
      <rPr>
        <sz val="11"/>
        <color theme="1"/>
        <rFont val="Calibri"/>
        <family val="2"/>
        <scheme val="minor"/>
      </rPr>
      <t/>
    </r>
  </si>
  <si>
    <r>
      <rPr>
        <sz val="8"/>
        <rFont val="Arial"/>
        <family val="2"/>
      </rPr>
      <t>UEB_Exigences_Refonte_Portail_Conciergerie_V1.2</t>
    </r>
    <r>
      <rPr>
        <sz val="10"/>
        <rFont val="Arial"/>
        <family val="2"/>
      </rPr>
      <t xml:space="preserve">
R_TECH_POLYCOM_04</t>
    </r>
    <r>
      <rPr>
        <sz val="11"/>
        <color theme="1"/>
        <rFont val="Calibri"/>
        <family val="2"/>
        <scheme val="minor"/>
      </rPr>
      <t/>
    </r>
  </si>
  <si>
    <r>
      <rPr>
        <sz val="8"/>
        <rFont val="Arial"/>
        <family val="2"/>
      </rPr>
      <t>UEB_Exigences_Refonte_Portail_Conciergerie_V1.2</t>
    </r>
    <r>
      <rPr>
        <sz val="10"/>
        <rFont val="Arial"/>
        <family val="2"/>
      </rPr>
      <t xml:space="preserve">
R_TECH_POLYCOM_05</t>
    </r>
    <r>
      <rPr>
        <sz val="11"/>
        <color theme="1"/>
        <rFont val="Calibri"/>
        <family val="2"/>
        <scheme val="minor"/>
      </rPr>
      <t/>
    </r>
  </si>
  <si>
    <r>
      <rPr>
        <sz val="8"/>
        <rFont val="Arial"/>
        <family val="2"/>
      </rPr>
      <t>UEB_Exigences_Refonte_Portail_Conciergerie_V1.2</t>
    </r>
    <r>
      <rPr>
        <sz val="10"/>
        <rFont val="Arial"/>
        <family val="2"/>
      </rPr>
      <t xml:space="preserve">
R_TECH_POLYCOM_07</t>
    </r>
    <r>
      <rPr>
        <sz val="11"/>
        <color theme="1"/>
        <rFont val="Calibri"/>
        <family val="2"/>
        <scheme val="minor"/>
      </rPr>
      <t/>
    </r>
  </si>
  <si>
    <r>
      <rPr>
        <sz val="8"/>
        <rFont val="Arial"/>
        <family val="2"/>
      </rPr>
      <t>UEB_Exigences_Refonte_Portail_Conciergerie_V1.2</t>
    </r>
    <r>
      <rPr>
        <sz val="10"/>
        <rFont val="Arial"/>
        <family val="2"/>
      </rPr>
      <t xml:space="preserve">
R_TECH_POLYCOM_08</t>
    </r>
    <r>
      <rPr>
        <sz val="11"/>
        <color theme="1"/>
        <rFont val="Calibri"/>
        <family val="2"/>
        <scheme val="minor"/>
      </rPr>
      <t/>
    </r>
  </si>
  <si>
    <r>
      <rPr>
        <sz val="8"/>
        <rFont val="Arial"/>
        <family val="2"/>
      </rPr>
      <t>UEB_Exigences_Refonte_Portail_Conciergerie_V1.2</t>
    </r>
    <r>
      <rPr>
        <sz val="10"/>
        <rFont val="Arial"/>
        <family val="2"/>
      </rPr>
      <t xml:space="preserve">
R_TECH_POLYCOM_09</t>
    </r>
    <r>
      <rPr>
        <sz val="11"/>
        <color theme="1"/>
        <rFont val="Calibri"/>
        <family val="2"/>
        <scheme val="minor"/>
      </rPr>
      <t/>
    </r>
  </si>
  <si>
    <r>
      <rPr>
        <sz val="8"/>
        <rFont val="Arial"/>
        <family val="2"/>
      </rPr>
      <t>UEB_Exigences_Refonte_Portail_Conciergerie_V1.2</t>
    </r>
    <r>
      <rPr>
        <sz val="10"/>
        <rFont val="Arial"/>
        <family val="2"/>
      </rPr>
      <t xml:space="preserve">
R_TECH_POLYCOM_10</t>
    </r>
    <r>
      <rPr>
        <sz val="11"/>
        <color theme="1"/>
        <rFont val="Calibri"/>
        <family val="2"/>
        <scheme val="minor"/>
      </rPr>
      <t/>
    </r>
  </si>
  <si>
    <r>
      <rPr>
        <sz val="8"/>
        <rFont val="Arial"/>
        <family val="2"/>
      </rPr>
      <t>UEB_Exigences_Refonte_Portail_Conciergerie_V1.2</t>
    </r>
    <r>
      <rPr>
        <sz val="10"/>
        <rFont val="Arial"/>
        <family val="2"/>
      </rPr>
      <t xml:space="preserve">
R_TECH_POLYCOM_11</t>
    </r>
    <r>
      <rPr>
        <sz val="11"/>
        <color theme="1"/>
        <rFont val="Calibri"/>
        <family val="2"/>
        <scheme val="minor"/>
      </rPr>
      <t/>
    </r>
  </si>
  <si>
    <r>
      <rPr>
        <sz val="8"/>
        <rFont val="Arial"/>
        <family val="2"/>
      </rPr>
      <t>UEB_Exigences_Refonte_Portail_Conciergerie_V1.2</t>
    </r>
    <r>
      <rPr>
        <sz val="10"/>
        <rFont val="Arial"/>
        <family val="2"/>
      </rPr>
      <t xml:space="preserve">
R_TECH_POLYCOM_12</t>
    </r>
    <r>
      <rPr>
        <sz val="11"/>
        <color theme="1"/>
        <rFont val="Calibri"/>
        <family val="2"/>
        <scheme val="minor"/>
      </rPr>
      <t/>
    </r>
  </si>
  <si>
    <r>
      <rPr>
        <sz val="8"/>
        <rFont val="Arial"/>
        <family val="2"/>
      </rPr>
      <t>UEB_Exigences_Refonte_Portail_Conciergerie_V1.2</t>
    </r>
    <r>
      <rPr>
        <sz val="10"/>
        <rFont val="Arial"/>
        <family val="2"/>
      </rPr>
      <t xml:space="preserve">
R_TECH_POLYCOM_13</t>
    </r>
    <r>
      <rPr>
        <sz val="11"/>
        <color theme="1"/>
        <rFont val="Calibri"/>
        <family val="2"/>
        <scheme val="minor"/>
      </rPr>
      <t/>
    </r>
  </si>
  <si>
    <r>
      <rPr>
        <sz val="8"/>
        <rFont val="Arial"/>
        <family val="2"/>
      </rPr>
      <t>UEB_Exigences_Refonte_Portail_Conciergerie_V1.2</t>
    </r>
    <r>
      <rPr>
        <sz val="10"/>
        <rFont val="Arial"/>
        <family val="2"/>
      </rPr>
      <t xml:space="preserve">
R_TECH_POLYCOM_14</t>
    </r>
    <r>
      <rPr>
        <sz val="11"/>
        <color theme="1"/>
        <rFont val="Calibri"/>
        <family val="2"/>
        <scheme val="minor"/>
      </rPr>
      <t/>
    </r>
  </si>
  <si>
    <r>
      <rPr>
        <sz val="8"/>
        <rFont val="Arial"/>
        <family val="2"/>
      </rPr>
      <t>UEB_Exigences_Refonte_Portail_Conciergerie_V1.2</t>
    </r>
    <r>
      <rPr>
        <sz val="10"/>
        <rFont val="Arial"/>
        <family val="2"/>
      </rPr>
      <t xml:space="preserve">
R_TECH_POLYCOM_15</t>
    </r>
    <r>
      <rPr>
        <sz val="11"/>
        <color theme="1"/>
        <rFont val="Calibri"/>
        <family val="2"/>
        <scheme val="minor"/>
      </rPr>
      <t/>
    </r>
  </si>
  <si>
    <r>
      <rPr>
        <sz val="8"/>
        <rFont val="Arial"/>
        <family val="2"/>
      </rPr>
      <t>UEB_Exigences_Refonte_Portail_Conciergerie_V1.2</t>
    </r>
    <r>
      <rPr>
        <sz val="10"/>
        <rFont val="Arial"/>
        <family val="2"/>
      </rPr>
      <t xml:space="preserve">
R_TECH_POLYCOM_16</t>
    </r>
    <r>
      <rPr>
        <sz val="11"/>
        <color theme="1"/>
        <rFont val="Calibri"/>
        <family val="2"/>
        <scheme val="minor"/>
      </rPr>
      <t/>
    </r>
  </si>
  <si>
    <r>
      <rPr>
        <sz val="8"/>
        <rFont val="Arial"/>
        <family val="2"/>
      </rPr>
      <t>UEB_Exigences_Refonte_Portail_Conciergerie_V1.2</t>
    </r>
    <r>
      <rPr>
        <sz val="10"/>
        <rFont val="Arial"/>
        <family val="2"/>
      </rPr>
      <t xml:space="preserve">
R_TECH_POLYCOM_17</t>
    </r>
    <r>
      <rPr>
        <sz val="11"/>
        <color theme="1"/>
        <rFont val="Calibri"/>
        <family val="2"/>
        <scheme val="minor"/>
      </rPr>
      <t/>
    </r>
  </si>
  <si>
    <r>
      <rPr>
        <sz val="8"/>
        <rFont val="Arial"/>
        <family val="2"/>
      </rPr>
      <t>UEB_Exigences_Refonte_Portail_Conciergerie_V1.2</t>
    </r>
    <r>
      <rPr>
        <sz val="10"/>
        <rFont val="Arial"/>
        <family val="2"/>
      </rPr>
      <t xml:space="preserve">
R_TECH_POLYCOM_18</t>
    </r>
    <r>
      <rPr>
        <sz val="11"/>
        <color theme="1"/>
        <rFont val="Calibri"/>
        <family val="2"/>
        <scheme val="minor"/>
      </rPr>
      <t/>
    </r>
  </si>
  <si>
    <r>
      <rPr>
        <sz val="8"/>
        <rFont val="Arial"/>
        <family val="2"/>
      </rPr>
      <t>UEB_Exigences_Refonte_Portail_Conciergerie_V1.2</t>
    </r>
    <r>
      <rPr>
        <sz val="10"/>
        <rFont val="Arial"/>
        <family val="2"/>
      </rPr>
      <t xml:space="preserve">
R_TECH_CNCT_01</t>
    </r>
  </si>
  <si>
    <r>
      <rPr>
        <sz val="8"/>
        <rFont val="Arial"/>
        <family val="2"/>
      </rPr>
      <t>UEB_Exigences_Refonte_Portail_Conciergerie_V1.2</t>
    </r>
    <r>
      <rPr>
        <sz val="10"/>
        <rFont val="Arial"/>
        <family val="2"/>
      </rPr>
      <t xml:space="preserve">
R_TECH_CNCT_02</t>
    </r>
    <r>
      <rPr>
        <sz val="11"/>
        <color theme="1"/>
        <rFont val="Calibri"/>
        <family val="2"/>
        <scheme val="minor"/>
      </rPr>
      <t/>
    </r>
  </si>
  <si>
    <r>
      <rPr>
        <sz val="8"/>
        <rFont val="Arial"/>
        <family val="2"/>
      </rPr>
      <t>UEB_Exigences_Refonte_Portail_Conciergerie_V1.2</t>
    </r>
    <r>
      <rPr>
        <sz val="10"/>
        <rFont val="Arial"/>
        <family val="2"/>
      </rPr>
      <t xml:space="preserve">
R_TECH_CNCT_04</t>
    </r>
    <r>
      <rPr>
        <sz val="11"/>
        <color theme="1"/>
        <rFont val="Calibri"/>
        <family val="2"/>
        <scheme val="minor"/>
      </rPr>
      <t/>
    </r>
  </si>
  <si>
    <t>R_TECH_IHM_03</t>
  </si>
  <si>
    <t>R_TECH_POLYCOM_20</t>
  </si>
  <si>
    <t>R_TECH_POLYCOM_21</t>
  </si>
  <si>
    <t>R_TECH_POLYCOM_22</t>
  </si>
  <si>
    <t>R_TECH_POLYCOM_23</t>
  </si>
  <si>
    <t>R_TECH_POLYCOM_24</t>
  </si>
  <si>
    <t>à approuver</t>
  </si>
  <si>
    <t>UBL1499600A</t>
  </si>
  <si>
    <t>1/9/2017  (V 1.0)</t>
  </si>
  <si>
    <t>Retour RUN V1</t>
  </si>
  <si>
    <t>CCTP 3.1</t>
  </si>
  <si>
    <t>Atelier #8</t>
  </si>
  <si>
    <t>CCTP 1,8
3,2,2,2</t>
  </si>
  <si>
    <t>Atelier #6 #7</t>
  </si>
  <si>
    <t>Atelier #1 #6 #8</t>
  </si>
  <si>
    <t>Atelier #6 et Mail</t>
  </si>
  <si>
    <t>Atelier #5</t>
  </si>
  <si>
    <t>Atelier #3</t>
  </si>
  <si>
    <t>Atelier #7</t>
  </si>
  <si>
    <t>Le champ nombre de places est une liste déroulante proposant les valeurs suivantes :
- jusqu'à 12
- jusqu'à 18
- jusqu'à 40
- supérieur à 40</t>
  </si>
  <si>
    <t>1.1</t>
  </si>
  <si>
    <t xml:space="preserve">Les statistiques d'usages peuvent s'afficher :
- soit par établissement (sessions dont l'organisateur est associé à l'établissement).
- soit par salle
Lorsque la vue "Etablissement" est sélectionnée, l'utilisateur peut choisir grâce à une liste déroulante l'établissement concerné. 
L'établissement "UBL" est présent et correspond à l'ensemble de établissements. Cette valeur est sélectionnée par défaut.
Lorsque la vue "Salle" est sélectionnée, l'utilisateur peut choisir grâce à une liste déroulante la salle concernée.
Les 2 vues ne sont pas combinables.
La sélection d'un établissement ou d'une salle est une condition préalable à l'affichage des statistiques.
</t>
  </si>
  <si>
    <t>Les statistiques du bilan CO2 s'affichent par établissement (sessions dont l'organisateur est associé à l'établissement).
L'utilisateur peut choisir grâce à une liste déroulante l'établissement concerné. 
L'établissement "UBL" est présent et correspond à l'ensemble de établissements. Cette valeur est sélectionnée par défaut.
La sélection d'un établissement est une condition préalable à l'affichage des statistiques.</t>
  </si>
  <si>
    <t>QI#27, QI#28 =&gt; retours pris en compte</t>
  </si>
  <si>
    <t>QI#23 =&gt; retour pris en compte</t>
  </si>
  <si>
    <t>QI#14, QI#22 =&gt; retours pris en compte</t>
  </si>
  <si>
    <t>Lors de la création, une session a au minimum les caractéristiques suivantes :
- organisateur
- nom
- liste des salles internes
- estimation du nombre de salles externes
- thème
- mode (local ou visio)
- enregistrement (avec ou sans)
- date de la session
- heure de début
- heure de fin</t>
  </si>
  <si>
    <t>QI#32 =&gt; retours pris en compte</t>
  </si>
  <si>
    <t>Le portail doit récupérer les informations de statistiques d'usage des équipements polycom pour les afficher</t>
  </si>
  <si>
    <t>La conciergerie doit proposer des web services au format REST et répondre au format JSON</t>
  </si>
  <si>
    <t xml:space="preserve">Maj de l'exigence en 1.1: Le portail est en fait le service de conciergerie. </t>
  </si>
  <si>
    <t xml:space="preserve">Rejetée: le portail ICC utilise directement l'API Vodalys sans passer par le portail. </t>
  </si>
  <si>
    <t>Rejetée: La GED de la conciergerie est abandonnée.</t>
  </si>
  <si>
    <t>Rejetée: L'agenda des salles tel que présenté dans le portail ICC V1 n'est plus d'actualité.</t>
  </si>
  <si>
    <t xml:space="preserve">La caractéristique "libellé de session" d'une création de session est un champs texte libre de taille inférieure à 31 caractères. Ce libellé n'est pas un champs discriminant pour les sessions. </t>
  </si>
  <si>
    <t>1.1: Ajout de "Ce libellé n'est pas un champs discriminant pour les sessions. "</t>
  </si>
  <si>
    <t>1.1 suppression de la valeur par défaut.</t>
  </si>
  <si>
    <t xml:space="preserve">1.1 Précision: le "sauf" ne concerne que les sessions avec de la récurrence. </t>
  </si>
  <si>
    <t>Une salle a les caractéristiques obligatoires suivantes: 
* Nom
* Localité
* Site  
* Type de salle
* Nb Places      
* Type Accès     
* Ouvert location        
* Validation spécifique
* Visio</t>
  </si>
  <si>
    <t xml:space="preserve">Gestion en BDD
1.1: suppression du Bâtiment       </t>
  </si>
  <si>
    <t>R_TECH_IHM_04</t>
  </si>
  <si>
    <t>Les champs texte saisissables dans l'IHM peuvent contenir des caractères alpha-numériques accentués et des caractères spéciaux.</t>
  </si>
  <si>
    <t xml:space="preserve">A CONFIRMER pour les noms de sessions (contrainte sur la V1) </t>
  </si>
  <si>
    <t>La caractéristique "thème de session" d'une création de session correspond à une valeur parmi les suivantes : Projet et gouvernance, Formation, Maintenance, Tests et Autres. La liste fait partie des données configurables par l'UBL.</t>
  </si>
  <si>
    <t>Un mail de notification de réservation de session doit contenir le nom, la date de la session, la liste de salles réservées, le  code de connexion (pour accès nomade ou salle externe), les codes d’accès  éventuels aux salles et bâtiments (SPARTIME)
 (cf R_FONC_VALID_WORKFLOW)</t>
  </si>
  <si>
    <r>
      <t xml:space="preserve">Mail de notification de réservation de session
</t>
    </r>
    <r>
      <rPr>
        <sz val="10"/>
        <rFont val="Arial"/>
        <family val="2"/>
      </rPr>
      <t>1.1 précision salles et bâtiments</t>
    </r>
  </si>
  <si>
    <t>1.1 rejet de l'exigence.
A supprimer suite relecture NCR.</t>
  </si>
  <si>
    <t>Les données de réservations du portail V1 (G2J) seront migrées lors du déploiement du nouveau portail. Les données contiennent : 
- Les informations saisies par les utilisateurs lors de la création de la réservation
- Les informations réelles de sessions avec temps de connexion des salles
La migration est prévue sur les données G2J incluant les réservations réalisées de septembre 2017 jusqu'à la date de migration.</t>
  </si>
  <si>
    <t>Modification 1.1 : La migration est prévue sur les données G2J de septembre 2017 à la date de mise en production de la conciergerie V2.
Modification 1.2 : Suppression de la mention informations de validation, données non présentes dans le portail MEV + reformulation période.</t>
  </si>
  <si>
    <t>Modification 1.1 : précision.</t>
  </si>
  <si>
    <t>L’accès au portail de conciergerie se fera via le portail ICC, lorsque l'utilisateur est connecté via la fédération d’identité (Renater).</t>
  </si>
  <si>
    <t xml:space="preserve">Si plus de 10 éléments dans la liste, alors on n'affiche que les 10 premiers résultats. Un message d'avertissement indique à l'utilisateur que sa recherche doit être affinée. </t>
  </si>
  <si>
    <t>Modification 1.1 : Limitation à 10.</t>
  </si>
  <si>
    <t>Depuis la vue agenda, un toggle bouton permet de n'afficher que les sessions pour lesquelles la visio est activée. Ce bouton n'est visible que pour les profils suivants : gestionnaire d'établissement, gestionnaire UBL et gestionnaire conciergerie. 
Lorsque le bouton n'est pas activé, toutes les sessions sont visibles dans l'agenda (avec ou sans visio).</t>
  </si>
  <si>
    <t>Modification 1.1 : Ajout de la précision sur le fonctionnement lorsque le bouton n'est pas actif.</t>
  </si>
  <si>
    <t>Les caractéristiques mode et enregistrement sont regroupées dans un bloc visio et vérifient les règles suivantes :
- mode local + sans enregistrement : si le nombre de salles sélectionnées est supérieur à 1, afficher un message indiquant que les salles ne se connecteront pas entre elles.
- mode local + enregistrement : si le nombre de salles sélectionnées est supérieur à 1, afficher un message d'erreur indiquant de faire plusieurs réservations. Dans ce cas, la session ne peut être enregistrée)
- mode Visio + sans enregistrement : si le nombre codecs calculé en fonction des salles sélectionnées (*) est supérieur à 15, afficher un message informant que le nombre de codecs est trop important.
- mode Visio + enregistrement :  si le nombre codecs calculé en fonction des salles sélectionnées (*)  est supérieur à 15, afficher un message informant que le nombre de codecs est trop important.
(*) et du nombre de salles externes saisis.
Par défaut, aucune valeur n'est sélectionnée.</t>
  </si>
  <si>
    <t>Le nombre de salles (prenant en compte le nombre de salles externes saisi) d'une session influe sur le nombre de codecs de la session. A chaque type de salle est associé un nombre de codec. Lorsque ce nombre de codecs dépasse un seuil défini en configuration (16 actuellement) et que la visio est activée, un message de warning est affiché à l'utilisateur.</t>
  </si>
  <si>
    <t>La seule contrainte émise est: Pas plus de 16 codec si le format est présence continue 
Modification 1.1 : précision sur le nombre de salles</t>
  </si>
  <si>
    <t>Chaque session démarre avec 30 secondes de retard et finit 30 secondes d'avance</t>
  </si>
  <si>
    <t>La caractéristique "l’estimation du nombre de salles externes (ou invitées ?)  connectées" d'une création de session est un champ numérique borné de 0 à 15.</t>
  </si>
  <si>
    <t xml:space="preserve">La caractéristique "option de visio" d'une création de session correspond un booléen. Il n'y a pas de sélection par défaut, l'utilisateur doit le spécifier. </t>
  </si>
  <si>
    <t xml:space="preserve">La caractéristique "option d’enregistrement" d'une création de session correspond à un booléen.  Il n'y a pas de sélection par défaut, l'utilisateur doit le spécifier. </t>
  </si>
  <si>
    <t>1.1 : Max = 15</t>
  </si>
  <si>
    <t xml:space="preserve">La caractéristique "référence" d'une création de session correspond à un code de session. C'est un champ texte libre de taille inféreure ou égale à 30 caractères. </t>
  </si>
  <si>
    <t>1.1 max = 30</t>
  </si>
  <si>
    <t>La caractéristique "le mode d’affichage" d'une création de session correspond à une valeur parmi les suivantes: Mode présentateur, Activation à la voix,  Présence continue, Présentation par image. Par defaut présence continu</t>
  </si>
  <si>
    <t>1.1 : Par defaut présence continu</t>
  </si>
  <si>
    <t xml:space="preserve">La caractéristique "commentaire du statut de facturation" est un commentaire optionnel, c'est un champ texte libre de taille maximale : 255 caractères.  </t>
  </si>
  <si>
    <t>1.1 max = 255</t>
  </si>
  <si>
    <t>Un système externe doit pouvoir demander la réservation de salles gérées par l'UBL. Les APIs pour les systèmes externes seront soumises à une authentification forte. Cf R_TECH_SECU_01</t>
  </si>
  <si>
    <t>Un système externe doit pouvoir demander la liste des réservations de salles gérées par l'UBL. Les APIs pour les systèmes externes seront soumises à une authentification forte. Cf R_TECH_SECU_01</t>
  </si>
  <si>
    <t>Un système externe doit pouvoir modifier/supprimer des réservations de salles gérées par l'UBL. Les APIs pour les systèmes externes seront soumises à une authentification forte. Cf R_TECH_SECU_01</t>
  </si>
  <si>
    <t>1.1 Ajout contrainte sur l'authentification</t>
  </si>
  <si>
    <t>La caractéristique Type de salle d'une salle est une valeur parmi : TP, TPI, TD, TA
TP = Salle de téléprésence  (plusieurs tailles)
TPI = Salles de téléprésence immersive
TD = Salles de télé-enseignement
TA = Télé-amphithéâtre
cf R_FONC_CONFIGURATION_SALLES_01 pour la liste des salles</t>
  </si>
  <si>
    <t>1.1 : Suppression ENS</t>
  </si>
  <si>
    <t>Pour le service du portail ICC, la conciergerie doit permettre de récupérer :
 - la liste des salles de l'UBL
 - la liste des réservations pour une salle</t>
  </si>
  <si>
    <t>Inclus dans les statistiques des sessions à travers le temps de connexion réel des salles</t>
  </si>
  <si>
    <t>Modification 1.1 : suppression de l'exigence</t>
  </si>
  <si>
    <t xml:space="preserve">Le gestionnaire UBL a les mêmes droits que le gestionnaire établissement avec en plus :
- Valider/rejeter les réservations de toutes les salles 
- Gérer le statut de la facturation pour les réservations "recette ou usage annexe"
- Gérer les infos Flash
</t>
  </si>
  <si>
    <t>L'utilisateur fermant une salle doit saisir un libellé, sélectionner une cause de fermeture (congés, maintenance, … ) et saisir un commentaire (obligatoire)</t>
  </si>
  <si>
    <r>
      <t xml:space="preserve">QI#24
</t>
    </r>
    <r>
      <rPr>
        <sz val="10"/>
        <rFont val="Arial"/>
        <family val="2"/>
      </rPr>
      <t>Modification 1.1 : commentaire obligatoire</t>
    </r>
  </si>
  <si>
    <t>Toutes les caractéristiques peuvent être modifiées excepté l'organisateur de la session. 
Pour les sessions récurrentes, les caractéristiques ayant un impact sur le processus de validation ne sont également pas modifiables à savoir :
- les paramètres de récurrence
- la liste des salles
- la date et l’heure</t>
  </si>
  <si>
    <t>La recherche par status de validation et de facturation sert aux personnels d'établissement (Atelier #2)
Voir R_FONC_SESSION_VALID_02 pour status de validation de session
La recherche par visio  a été ajoutée à l'Atelier #6
Modification 1.1 : suppression incident
Suppression "visio", ajout du "type de session"</t>
  </si>
  <si>
    <t>La vue Liste des sessions propose les critères de filtres suivants :
Organisateur (liste déroulante)
Nom (champ texte)
Thème (liste déroulante)
Salle(s) (liste déroulante à sélection multiple)
Localité(s) (liste déroulante à sélection multiple)
Période (du ... au ...) (2 champs date/heure)
Statut de validation (*) (liste déroulante)
Statut de facturation (*) (liste déroulante)
Type de session (options : mode visio, mode local, avec enregistrement, sans enregistrement)
Ces critères sont indépendants les uns des autres (ie, la liste des bâtiments n'est pas filtrée par une éventuelle sélection de la localité).
Lorsque plusieurs critères sont renseignés simultanément, seules les sessions correspondant à l'ensemble des critères (ET) sont retournées.
(*) si autorisé pour le profil courant</t>
  </si>
  <si>
    <t>Le propriétaire de la vidéo (organisateur par défaut) doit pouvoir être recherché parmi les personnes ayant un compte à l'UBL exceptés les étudiants avec de l'auto-complétion.</t>
  </si>
  <si>
    <t>1.1: Ajout "exceptés les étudiants "</t>
  </si>
  <si>
    <t>Le portail doit être compatible Firefox, Chrome et IE. Sur la conciergerie, la résolution minimale de l'écran du terminal est fixée à 1200px.</t>
  </si>
  <si>
    <t>Modification 1.1: 1200px</t>
  </si>
  <si>
    <t>Pour le calcul du coût CO2 du transport "aurait été généré" d'un compte nomade ou d'une salle externe, la distance entre 1 salle et le compte nomade ou la salle externe est configurée statiquement dans le système.</t>
  </si>
  <si>
    <t>1.1 : ajout de la salle externe traitée comme compte nomade</t>
  </si>
  <si>
    <t>Pour le calcul CO2 "aurait été généré", l’effectif théorique du nombre de participant par type de salle utilisé dans le calcul est configurable. Ce nombre configurable additionné du nombre de salles externes saisi par l'organisateur donne le nb total de participants = [Nb Paticipants]</t>
  </si>
  <si>
    <t>1.1 : Ajout du nombre de salle externes</t>
  </si>
  <si>
    <t>Pour le calcul CO2 "aurait été généré" : Suivant la distance entre 2 salles et l'heure de début de réunion, une nuit d'hôtel et restauration sont configurées dans le système = [coût hôtel et restauration en k€]
Exemple : 1 nuité + petit déjeuner + dîner = 150€ HT</t>
  </si>
  <si>
    <t>1.1 : ajout de la contrainte horaire sur le début de réunion</t>
  </si>
  <si>
    <t>Pour le calcul CO2 "généré" de la visioconférence, la consommation électrique d'un poste nomade ou d'une salle externe est configurée dans le système = [Consommation nomade en KWh]
Exemple : 
- Ordinateur portable</t>
  </si>
  <si>
    <t>1.1 : ajout salle externe</t>
  </si>
  <si>
    <t>Pour le calcul CO2 "généré", la surface d'un point nomade ou d'une salle externe est configurée dans le système = [Surface nomade]</t>
  </si>
  <si>
    <t>CO2 "généré" et "aurait été généré"
Le point de départ est la salle qui a l’effectif potentiel le plus grand = salle principale (dans les exigences suivantes)
Si toutes les salles de la session ont le même effectif alors la première salle est choisie</t>
  </si>
  <si>
    <t>1.1 : choix de la première salle si effectif identique</t>
  </si>
  <si>
    <t xml:space="preserve">CO2 "généré"
Les services de visioconférence nécessitent le fonctionnement d’équipements nomades. Pour chaque poste nomade ou salle externe connecté à la visioconférence, le coût CO2 est ajouté au compteur "CO2 "généré"" avec la formule suivante : 
[Tertiaire, bureaux] x [Surface nomade] x [durée visio] </t>
  </si>
  <si>
    <t xml:space="preserve">CO2 "généré"
Les services de visioconférence nécessitent le fonctionnement d’équipements nomades qui consomment de l’énergie. Pour chaque poste nomade ou salle externe connecté à la visioconférence, le coût CO2 est ajouté au compteur "CO2 "généré"" avec la formule suivante : 
[Electricité - 2014 - mix moyen - consommation] x [Consommation nomade en KWh] x [durée visio] </t>
  </si>
  <si>
    <t>Version corrective suite aux remarques clients + réponses apportées dans le QI</t>
  </si>
  <si>
    <t>QI#17, QI#32 =&gt; retours pris en compte
Modification 1.1 :  précisions sur le nombre de codecs calculés.</t>
  </si>
  <si>
    <r>
      <rPr>
        <sz val="8"/>
        <color rgb="FFFF0000"/>
        <rFont val="Arial"/>
        <family val="2"/>
      </rPr>
      <t>UEB_Exigences_Refonte_Portail_Conciergerie_V1.2</t>
    </r>
    <r>
      <rPr>
        <sz val="10"/>
        <color rgb="FFFF0000"/>
        <rFont val="Arial"/>
        <family val="2"/>
      </rPr>
      <t xml:space="preserve">
R_TECH_POLYCOM_19</t>
    </r>
    <r>
      <rPr>
        <sz val="11"/>
        <color theme="1"/>
        <rFont val="Calibri"/>
        <family val="2"/>
        <scheme val="minor"/>
      </rPr>
      <t/>
    </r>
  </si>
  <si>
    <r>
      <rPr>
        <sz val="8"/>
        <color rgb="FFFF0000"/>
        <rFont val="Arial"/>
        <family val="2"/>
      </rPr>
      <t>UEB_Exigences_Refonte_Portail_Conciergerie_V1.2</t>
    </r>
    <r>
      <rPr>
        <sz val="10"/>
        <color rgb="FFFF0000"/>
        <rFont val="Arial"/>
        <family val="2"/>
      </rPr>
      <t xml:space="preserve">
R_TECH_DATA_03</t>
    </r>
    <r>
      <rPr>
        <sz val="11"/>
        <color theme="1"/>
        <rFont val="Calibri"/>
        <family val="2"/>
        <scheme val="minor"/>
      </rPr>
      <t/>
    </r>
  </si>
  <si>
    <r>
      <rPr>
        <sz val="8"/>
        <color rgb="FFFF0000"/>
        <rFont val="Arial"/>
        <family val="2"/>
      </rPr>
      <t>UEB_Exigences_Refonte_Portail_Conciergerie_V1.2</t>
    </r>
    <r>
      <rPr>
        <sz val="10"/>
        <color rgb="FFFF0000"/>
        <rFont val="Arial"/>
        <family val="2"/>
      </rPr>
      <t xml:space="preserve">
R_TECH_DATA_04</t>
    </r>
    <r>
      <rPr>
        <sz val="11"/>
        <color theme="1"/>
        <rFont val="Calibri"/>
        <family val="2"/>
        <scheme val="minor"/>
      </rPr>
      <t/>
    </r>
  </si>
  <si>
    <r>
      <rPr>
        <sz val="8"/>
        <color rgb="FFFF0000"/>
        <rFont val="Arial"/>
        <family val="2"/>
      </rPr>
      <t>UEB_Exigences_Refonte_Portail_Conciergerie_V1.2</t>
    </r>
    <r>
      <rPr>
        <sz val="10"/>
        <color rgb="FFFF0000"/>
        <rFont val="Arial"/>
        <family val="2"/>
      </rPr>
      <t xml:space="preserve">
R_TECH_CNCT_03</t>
    </r>
    <r>
      <rPr>
        <sz val="11"/>
        <color theme="1"/>
        <rFont val="Calibri"/>
        <family val="2"/>
        <scheme val="minor"/>
      </rPr>
      <t/>
    </r>
  </si>
  <si>
    <r>
      <rPr>
        <sz val="8"/>
        <color rgb="FFFF0000"/>
        <rFont val="Arial"/>
        <family val="2"/>
      </rPr>
      <t>UEB_Exigences_Refonte_Portail_Conciergerie_V1.2</t>
    </r>
    <r>
      <rPr>
        <sz val="10"/>
        <color rgb="FFFF0000"/>
        <rFont val="Arial"/>
        <family val="2"/>
      </rPr>
      <t xml:space="preserve">
R_TECH_CNCT_05</t>
    </r>
    <r>
      <rPr>
        <sz val="11"/>
        <color theme="1"/>
        <rFont val="Calibri"/>
        <family val="2"/>
        <scheme val="minor"/>
      </rPr>
      <t/>
    </r>
  </si>
  <si>
    <t>R_FONC_VALID_WORKFLOW_22</t>
  </si>
  <si>
    <t>Lors du démarrage de la session, si une salle a été refusé, alors cette salle est exclue de la session</t>
  </si>
  <si>
    <t>Ajout suite à remarque sur le CR de l'atelier</t>
  </si>
  <si>
    <t>31/10/2017 (V 1.1)</t>
  </si>
  <si>
    <t>Gestion en BDD, pas de UI
Supprimée Doublon de la R_FONC_SALLE_CRT_10</t>
  </si>
  <si>
    <t xml:space="preserve">Le délai de réservation se compte en journée entière.
Exemple : pour une réservation faite un Mardi 3 à 15h, le délai de réservation courra jusqu’au Mardi 10 au soir (en tenant compte des 2j non ouvrés, à savoir le Samedi et le Dimanche).
</t>
  </si>
  <si>
    <t>Version 1,1 Modification pour éclairicir l'exigence. Pas de modification fonctionnelle.</t>
  </si>
  <si>
    <t xml:space="preserve">En cas d'erreur remontée par l'API Spartime, le système doit envoyer un mail de notification d'erreur Spartime. </t>
  </si>
  <si>
    <t>Un même mail ne doit pas être envoyé deux fois à la même personne (même si la personne cumule des rôles ie: présentateur + organisateur)</t>
  </si>
  <si>
    <t>Les statistiques d'usage se basent sur les données réelles des sessions passées.</t>
  </si>
  <si>
    <t>Le présentateur doit pouvoir être recherché parmi les personnes ayant un compte à l'UBL avec de l'auto-complétion mais aussi pouvoir être rentré librement (3 champs obligatoires: nom, prénom, email)</t>
  </si>
  <si>
    <t>Le critère de filtre "Type de salle" permet une sélection multiple via une liste déroulante de valeurs à cocher. 
Les valeurs sont les suivantes :  TP, TPI, TE, TA
TP = Salle de téléprésence
TPI = Salles de téléprésence immersive
TE = Salles de télé-enseignement
TA = Télé-amphithéâtre
Lorsque plusieurs valeurs sont sélectionnées, c'est un OU qui est appliqué sur ce filtre.
(exemple, les salles de TP ou TPI)</t>
  </si>
  <si>
    <t>Modification 1,1 : Suppression ENS</t>
  </si>
  <si>
    <t>1.2</t>
  </si>
  <si>
    <t>R_FONC_TICKETING_01</t>
  </si>
  <si>
    <t>R_FONC_TICKETING_02</t>
  </si>
  <si>
    <t>R_FONC_TICKETING_03</t>
  </si>
  <si>
    <t>R_FONC_TICKETING_04</t>
  </si>
  <si>
    <t>R_FONC_TICKETING_05</t>
  </si>
  <si>
    <t>R_FONC_TICKETING_06</t>
  </si>
  <si>
    <t>R_FONC_TICKETING_07</t>
  </si>
  <si>
    <t>R_FONC_TICKETING_08</t>
  </si>
  <si>
    <t>R_FONC_TICKETING_09</t>
  </si>
  <si>
    <t>Le gestionnaire conciergerie  a le droit de :
- Gérer les fermetures des salles de l’établissement (état ouvert ou fermé en cas de maintenance ou autre)
- Consulter l’agenda des salles 
- Réserver des sessions, puis les modifier/supprimer
- Modifier/Supprimer toutes les sessions
- Accès aux statistiques de toutes les sessions
- Accéder au module de ticketing</t>
  </si>
  <si>
    <t>Modification 1.1 : suppression Info Flash
Modification 1.2 : ajout module ticketing</t>
  </si>
  <si>
    <t>Le gestionnaire établissement a le droit de :
- Valider/rejeter les réservations de ses salles 
- Gérer les fermetures des salles de l’établissement (état ouvert ou fermé en cas de maintenance ou autre)
- Consulter l’agenda des salles 
- Réserver des sessions, puis les modifier/supprimer
- Modifier/Supprimer toutes les sessions
- Accès aux statistiques de toutes les sessions
- Accéder au module de ticketing</t>
  </si>
  <si>
    <t>Le personnel établissement a le droit de :
- Consulter l’agenda des salles
- Consulter la liste des sessions
- Réserver des sessions, puis les modifier/supprimer
- Accéder au module de ticketing</t>
  </si>
  <si>
    <t xml:space="preserve">L'étudiant a le droit de :
- Accéder aux vidéos publiques
</t>
  </si>
  <si>
    <t>Modification 1.1 : suppression de la ligne sur les contenus Infos Flash (portail ICC)
Modification 1.2 : ajout module ticketing</t>
  </si>
  <si>
    <t>Modification 1.1 : ajout Infos flash
Modification 1.2 : ajout module ticketing</t>
  </si>
  <si>
    <t>Modification 1.2 : ajout module ticketing</t>
  </si>
  <si>
    <t>Modification 1.2 : suppression de l'accès à l'agenda</t>
  </si>
  <si>
    <t>CCTP 3.3
Atelier #4</t>
  </si>
  <si>
    <t>Ajout des exigences liées au ticketing et aux salles externes</t>
  </si>
  <si>
    <t>Le portail de ticketing permet :
- d'accéder à un tableau de bord listant les tickets
- de consulter et filtrer la liste des tickets
- de créer/modifier/traiter un ticket</t>
  </si>
  <si>
    <t>Le gestion du ticketing est implémentée via le portail GLPI.
Les utilisateurs connectés au portail de conciergerie et ayant accès au module de ticketing seront automatiquement connectés à celui-ci via la fédération d'identité.</t>
  </si>
  <si>
    <t>Un utilisateur gestionnaire établissement a accès en consultation à l'ensemble des tickets associés aux salles dont il est le responsable.</t>
  </si>
  <si>
    <t>Un ticket peut être :
- un ticket d'incident
- un ticket d'assistance</t>
  </si>
  <si>
    <t>Un ticket peut prendre les états suivants :
- nouveau
- en cours (planifié)
- en cours (attribué)
- en attente
- résolu
- clos</t>
  </si>
  <si>
    <t>Un ticket peut être associé à 0, une, plusieurs ou toutes les salles du campus.</t>
  </si>
  <si>
    <t>Un ticket peut comporter 0, un ou plusieurs fichiers.</t>
  </si>
  <si>
    <t>R_FONC_TICKETING_10</t>
  </si>
  <si>
    <t>R_FONC_TICKETING_11</t>
  </si>
  <si>
    <t>R_FONC_TICKETING_12</t>
  </si>
  <si>
    <t>R_FONC_TICKETING_13</t>
  </si>
  <si>
    <t>R_FONC_TICKETING_14</t>
  </si>
  <si>
    <t>R_FONC_TICKETING_15</t>
  </si>
  <si>
    <t>R_FONC_TICKETING_16</t>
  </si>
  <si>
    <t>R_FONC_TICKETING_17</t>
  </si>
  <si>
    <t>R_FONC_TICKETING_18</t>
  </si>
  <si>
    <t>R_FONC_TICKETING_19</t>
  </si>
  <si>
    <t>R_FONC_TICKETING_20</t>
  </si>
  <si>
    <t>R_FONC_TICKETING_21</t>
  </si>
  <si>
    <t>R_FONC_TICKETING_22</t>
  </si>
  <si>
    <t>R_FONC_TICKETING_23</t>
  </si>
  <si>
    <t>R_FONC_TICKETING_24</t>
  </si>
  <si>
    <t>R_FONC_TICKETING_25</t>
  </si>
  <si>
    <t>R_FONC_TICKETING_26</t>
  </si>
  <si>
    <t>Un ticket peut contenir 0, un ou plusieurs observateurs. Ceux-ci seront notifiés par mail au même titre que le demandeur du ticket.</t>
  </si>
  <si>
    <t>Un utilisateur personnel établissement n'a accès, en consultation et en modification, qu'aux tickets dont il est à l'origine (via le portail ou par téléphone).
Il a accès à une interface simplifiée.</t>
  </si>
  <si>
    <t>Un utilisateur gestionnaire conciergerie ou gestionnaire UBL a accès, en consultation et en modification, à l'ensemble des tickets du portail.
Il a accès à l'interface standard.</t>
  </si>
  <si>
    <t>Le portail de ticketing contient le référentiel des salles de l'UBL (ainsi que leur établissement)</t>
  </si>
  <si>
    <t>Le numéro de téléphone de contact d'un utilisateur est enregistré au niveau de son profil utilisateur.</t>
  </si>
  <si>
    <t>Un mail de notification de création est envoyé au demandeur du ticket.</t>
  </si>
  <si>
    <t>Des mails de notification de modification/avancement/suppression sont envoyés
- au demandeur du ticket
- aux observateurs sur ticket
- aux utilisateurs assignés au ticket</t>
  </si>
  <si>
    <t>Lors de l'ajout d'une salle sur un ticket, l'utilisateur a la possibilité de voir la liste des tickets (leur nom uniquement) déjà en cours sur cette salle.</t>
  </si>
  <si>
    <t>R_FONC_SESSION_CRT_21</t>
  </si>
  <si>
    <t>1.2 ajout de l'exigence</t>
  </si>
  <si>
    <t xml:space="preserve">Une session peut comporter entre 0 et 15 salles externes.
Une salle externe est identifiée par son nom uniquement.
Aucun référentiel de salles externes n'est conservé au niveau du portail.
Une salle externe ajoutée dans une session peut faire l'objet d'un test. Dans ce cas, un ticket lui sera associé et sera accessible via le module de ticketing. Ce ticket sera initialisé avec les informations de contact saisies par l'utilisateur. Le suivi et la mise à jour des informations liées au test seront uniquement accessibles au travers du ticket.
</t>
  </si>
  <si>
    <t>Atelier #9</t>
  </si>
  <si>
    <t>Lors de la création, une session a les caractéristiques facultatives suivantes :
- la référence
- le présentateur
- le propriétaire de la vidéo
- le mode d’affichage
- le fuseau horaire ?
- le rappel (0.5, 1 ou 2 jours)
- la récurrence optionnelle
- commentaire sur la réservation
- tag de session
- liste de salles externes</t>
  </si>
  <si>
    <r>
      <t xml:space="preserve">QI#25, QI#33
</t>
    </r>
    <r>
      <rPr>
        <sz val="10"/>
        <rFont val="Arial"/>
        <family val="2"/>
      </rPr>
      <t>Modification 1.2 :  ajout salles externes</t>
    </r>
  </si>
  <si>
    <t>CCTP 1,8
3,2,3,3
Atelier #1 #9</t>
  </si>
  <si>
    <t>Une session a les caractéristiques suivantes. Certains champs sont provionnés à la création et d'autres durant les phases de vie de la session:
* nom de la session
* code de session
* liste des salles concernées
* état de la session
* dates de la session
* enregistrement demandé
* paramètres de récurrences
* affichage des codes Spartime (Salle)
* affichage des codes Spartime (Bâtiment)
* Id session
* Date et heure de début
* Date et heure de fin
* Durée
* Auteur
* Présentateur
* Thème
* Mode d'affichage
* Type de session
* Options de la session
* Référence
* Commentaire
* Liste de salles externes (nom + numéro ticket le cas échéant)
* Liste des salles connectées :
  * date et heure de connexion,
  * date et heure de déconnexion</t>
  </si>
  <si>
    <t>1.1 : Ajout du code SPARTIME Bâtiment, suppression du lien vers les tickets
1.2 :  ajout salles externes</t>
  </si>
  <si>
    <t>CCTP 1,8
3,2,2
Atelier #9</t>
  </si>
  <si>
    <t>La création d'un ticket à partir d'une session permet d'accéder dans un nouvel onglet à l'interface de création d'un nouveau ticket. 
Dans ce cas, le nom du ticket est pré-rempli avec le nom de la session (seul lien entre la session et le ticket.)</t>
  </si>
  <si>
    <t>R_FONC_SESSION_CRT_22</t>
  </si>
  <si>
    <t xml:space="preserve">En modification, il est possible d'ajouter, de modifier ou de supprimer une salle externe à la session.
En cas de modification ou de suppression d'une salles externe pour laquelle un test avait été demandé, aucune modification ou suppression du ticket associé n'est effectuée.
</t>
  </si>
  <si>
    <r>
      <t>Un ticket créé automatiquement suite à une demande de test de salle externe a les caractéristiques suivantes :
- nom : "[Test de la salle externe + nom salle externe] demandé dans la session + nom de la session"
- description : "Informations du contact + nom + prénom + mail + téléphone du contact"
- type : "Assistance"
- origine : "Portail"</t>
    </r>
    <r>
      <rPr>
        <sz val="10"/>
        <color rgb="FFFF0000"/>
        <rFont val="Arial"/>
        <family val="2"/>
      </rPr>
      <t xml:space="preserve">
- catégorie : "Test de salle externe"
- demandeur : utilisateur modifiant la session ? organisateur de la session ?</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</si>
</sst>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 _€_-;\-* #,##0.00\ _€_-;_-* &quot;-&quot;??\ _€_-;_-@_-"/>
    <numFmt numFmtId="164" formatCode="_-* #,##0\ _€_-;\-* #,##0\ _€_-;_-* &quot;-&quot;??\ _€_-;_-@_-"/>
  </numFmts>
  <fonts count="30" x14ac:knownFonts="1">
    <font>
      <sz val="10"/>
      <name val="Arial"/>
    </font>
    <font>
      <sz val="11"/>
      <color theme="1"/>
      <name val="Calibri"/>
      <family val="2"/>
      <scheme val="minor"/>
    </font>
    <font>
      <sz val="10"/>
      <name val="Arial"/>
      <family val="2"/>
    </font>
    <font>
      <sz val="10"/>
      <color indexed="12"/>
      <name val="Arial"/>
      <family val="2"/>
    </font>
    <font>
      <b/>
      <sz val="10"/>
      <name val="Arial"/>
      <family val="2"/>
    </font>
    <font>
      <sz val="8"/>
      <color indexed="81"/>
      <name val="Tahoma"/>
      <family val="2"/>
    </font>
    <font>
      <sz val="8"/>
      <name val="Arial"/>
      <family val="2"/>
    </font>
    <font>
      <i/>
      <sz val="9"/>
      <name val="Arial"/>
      <family val="2"/>
    </font>
    <font>
      <sz val="10"/>
      <color indexed="9"/>
      <name val="Arial"/>
      <family val="2"/>
    </font>
    <font>
      <b/>
      <sz val="10"/>
      <color indexed="9"/>
      <name val="Arial"/>
      <family val="2"/>
    </font>
    <font>
      <sz val="10"/>
      <name val="Arial"/>
      <family val="2"/>
    </font>
    <font>
      <i/>
      <sz val="9"/>
      <color indexed="9"/>
      <name val="Arial"/>
      <family val="2"/>
    </font>
    <font>
      <sz val="10"/>
      <color indexed="9"/>
      <name val="Arial"/>
      <family val="2"/>
    </font>
    <font>
      <b/>
      <sz val="10"/>
      <color indexed="12"/>
      <name val="Arial"/>
      <family val="2"/>
    </font>
    <font>
      <sz val="10"/>
      <color indexed="12"/>
      <name val="Arial"/>
      <family val="2"/>
    </font>
    <font>
      <b/>
      <sz val="10"/>
      <color indexed="10"/>
      <name val="Arial"/>
      <family val="2"/>
    </font>
    <font>
      <b/>
      <sz val="10"/>
      <color indexed="9"/>
      <name val="Arial"/>
      <family val="2"/>
    </font>
    <font>
      <i/>
      <sz val="10"/>
      <color indexed="12"/>
      <name val="Arial"/>
      <family val="2"/>
    </font>
    <font>
      <i/>
      <sz val="10"/>
      <color indexed="60"/>
      <name val="Arial"/>
      <family val="2"/>
    </font>
    <font>
      <b/>
      <sz val="10"/>
      <color indexed="8"/>
      <name val="Arial"/>
      <family val="2"/>
    </font>
    <font>
      <b/>
      <sz val="14"/>
      <name val="Arial"/>
      <family val="2"/>
    </font>
    <font>
      <sz val="12"/>
      <color indexed="9"/>
      <name val="Arial"/>
      <family val="2"/>
    </font>
    <font>
      <sz val="8"/>
      <color indexed="8"/>
      <name val="Arial"/>
      <family val="2"/>
    </font>
    <font>
      <sz val="10"/>
      <color indexed="81"/>
      <name val="Arial"/>
      <family val="2"/>
    </font>
    <font>
      <b/>
      <sz val="10"/>
      <color indexed="81"/>
      <name val="Arial"/>
      <family val="2"/>
    </font>
    <font>
      <sz val="10"/>
      <color rgb="FF000000"/>
      <name val="Arial"/>
      <family val="2"/>
    </font>
    <font>
      <b/>
      <sz val="10"/>
      <color rgb="FFFF0000"/>
      <name val="Arial"/>
      <family val="2"/>
    </font>
    <font>
      <b/>
      <sz val="22"/>
      <color rgb="FFFF0000"/>
      <name val="Arial"/>
      <family val="2"/>
    </font>
    <font>
      <sz val="10"/>
      <color rgb="FFFF0000"/>
      <name val="Arial"/>
      <family val="2"/>
    </font>
    <font>
      <sz val="8"/>
      <color rgb="FFFF0000"/>
      <name val="Arial"/>
      <family val="2"/>
    </font>
  </fonts>
  <fills count="19">
    <fill>
      <patternFill patternType="none"/>
    </fill>
    <fill>
      <patternFill patternType="gray125"/>
    </fill>
    <fill>
      <patternFill patternType="solid">
        <fgColor indexed="52"/>
        <bgColor indexed="64"/>
      </patternFill>
    </fill>
    <fill>
      <patternFill patternType="solid">
        <fgColor indexed="61"/>
        <bgColor indexed="64"/>
      </patternFill>
    </fill>
    <fill>
      <patternFill patternType="solid">
        <fgColor indexed="11"/>
        <bgColor indexed="64"/>
      </patternFill>
    </fill>
    <fill>
      <patternFill patternType="solid">
        <fgColor indexed="15"/>
        <bgColor indexed="64"/>
      </patternFill>
    </fill>
    <fill>
      <patternFill patternType="solid">
        <fgColor indexed="13"/>
        <bgColor indexed="64"/>
      </patternFill>
    </fill>
    <fill>
      <patternFill patternType="solid">
        <fgColor indexed="43"/>
        <bgColor indexed="64"/>
      </patternFill>
    </fill>
    <fill>
      <patternFill patternType="solid">
        <fgColor indexed="63"/>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53"/>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0"/>
        <bgColor indexed="64"/>
      </patternFill>
    </fill>
  </fills>
  <borders count="46">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style="medium">
        <color indexed="64"/>
      </top>
      <bottom style="medium">
        <color indexed="64"/>
      </bottom>
      <diagonal/>
    </border>
    <border>
      <left style="medium">
        <color indexed="64"/>
      </left>
      <right/>
      <top/>
      <bottom style="thick">
        <color indexed="9"/>
      </bottom>
      <diagonal/>
    </border>
    <border>
      <left style="medium">
        <color indexed="64"/>
      </left>
      <right/>
      <top style="thick">
        <color indexed="9"/>
      </top>
      <bottom style="thick">
        <color indexed="9"/>
      </bottom>
      <diagonal/>
    </border>
    <border>
      <left style="medium">
        <color indexed="64"/>
      </left>
      <right/>
      <top style="thick">
        <color indexed="9"/>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9"/>
      </left>
      <right style="medium">
        <color indexed="9"/>
      </right>
      <top/>
      <bottom/>
      <diagonal/>
    </border>
    <border>
      <left style="medium">
        <color indexed="9"/>
      </left>
      <right/>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9"/>
      </right>
      <top/>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s>
  <cellStyleXfs count="5">
    <xf numFmtId="0" fontId="0" fillId="0" borderId="0"/>
    <xf numFmtId="43" fontId="2" fillId="0" borderId="0" applyFont="0" applyFill="0" applyBorder="0" applyAlignment="0" applyProtection="0"/>
    <xf numFmtId="0" fontId="10" fillId="0" borderId="0"/>
    <xf numFmtId="9" fontId="2" fillId="0" borderId="0" applyFont="0" applyFill="0" applyBorder="0" applyAlignment="0" applyProtection="0"/>
    <xf numFmtId="0" fontId="2" fillId="0" borderId="0"/>
  </cellStyleXfs>
  <cellXfs count="264">
    <xf numFmtId="0" fontId="0" fillId="0" borderId="0" xfId="0"/>
    <xf numFmtId="0" fontId="0" fillId="0" borderId="0" xfId="0" applyAlignment="1">
      <alignment wrapText="1"/>
    </xf>
    <xf numFmtId="0" fontId="4"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8" fillId="2" borderId="9"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8" fillId="0" borderId="0" xfId="0" applyFont="1"/>
    <xf numFmtId="0" fontId="4" fillId="0" borderId="0" xfId="0" applyFont="1" applyAlignment="1">
      <alignment wrapText="1"/>
    </xf>
    <xf numFmtId="0" fontId="11" fillId="3" borderId="11" xfId="0" applyFont="1" applyFill="1" applyBorder="1" applyAlignment="1">
      <alignment horizontal="center" vertical="top" wrapText="1"/>
    </xf>
    <xf numFmtId="0" fontId="11" fillId="3" borderId="12" xfId="0" applyFont="1" applyFill="1" applyBorder="1" applyAlignment="1">
      <alignment horizontal="center" vertical="top" wrapText="1"/>
    </xf>
    <xf numFmtId="0" fontId="7" fillId="4" borderId="13" xfId="0" applyFont="1" applyFill="1" applyBorder="1" applyAlignment="1">
      <alignment horizontal="center" vertical="top" wrapText="1"/>
    </xf>
    <xf numFmtId="0" fontId="7" fillId="4" borderId="14" xfId="0" applyFont="1" applyFill="1" applyBorder="1" applyAlignment="1">
      <alignment horizontal="center" vertical="top" wrapText="1"/>
    </xf>
    <xf numFmtId="0" fontId="7" fillId="5" borderId="13" xfId="0" applyFont="1" applyFill="1" applyBorder="1" applyAlignment="1">
      <alignment horizontal="center" vertical="top" wrapText="1"/>
    </xf>
    <xf numFmtId="0" fontId="7" fillId="5" borderId="14" xfId="0" applyFont="1" applyFill="1" applyBorder="1" applyAlignment="1">
      <alignment horizontal="center" vertical="top" wrapText="1"/>
    </xf>
    <xf numFmtId="0" fontId="7" fillId="6" borderId="13" xfId="0" applyFont="1" applyFill="1" applyBorder="1" applyAlignment="1">
      <alignment horizontal="center" vertical="top" wrapText="1"/>
    </xf>
    <xf numFmtId="0" fontId="7" fillId="6" borderId="14" xfId="0" applyFont="1" applyFill="1" applyBorder="1" applyAlignment="1">
      <alignment horizontal="center" vertical="top" wrapText="1"/>
    </xf>
    <xf numFmtId="0" fontId="13" fillId="0" borderId="0" xfId="0" applyFont="1" applyAlignment="1">
      <alignment wrapText="1"/>
    </xf>
    <xf numFmtId="0" fontId="4" fillId="6" borderId="15" xfId="0" applyFont="1" applyFill="1" applyBorder="1" applyAlignment="1">
      <alignment wrapText="1"/>
    </xf>
    <xf numFmtId="0" fontId="4" fillId="5" borderId="15" xfId="0" applyFont="1" applyFill="1" applyBorder="1" applyAlignment="1">
      <alignment wrapText="1"/>
    </xf>
    <xf numFmtId="0" fontId="4" fillId="4" borderId="15" xfId="0" applyFont="1" applyFill="1" applyBorder="1" applyAlignment="1">
      <alignment wrapText="1"/>
    </xf>
    <xf numFmtId="0" fontId="9" fillId="3" borderId="15" xfId="0" applyFont="1" applyFill="1" applyBorder="1" applyAlignment="1">
      <alignment wrapText="1"/>
    </xf>
    <xf numFmtId="0" fontId="0" fillId="4" borderId="16" xfId="0" applyFill="1" applyBorder="1" applyAlignment="1">
      <alignment vertical="center" wrapText="1"/>
    </xf>
    <xf numFmtId="0" fontId="0" fillId="5" borderId="16" xfId="0" applyFill="1" applyBorder="1" applyAlignment="1">
      <alignment vertical="center" wrapText="1"/>
    </xf>
    <xf numFmtId="0" fontId="0" fillId="6" borderId="16" xfId="0" applyFill="1" applyBorder="1" applyAlignment="1">
      <alignment vertical="center" wrapText="1"/>
    </xf>
    <xf numFmtId="0" fontId="0" fillId="0" borderId="0" xfId="0" quotePrefix="1"/>
    <xf numFmtId="0" fontId="4" fillId="0" borderId="0" xfId="0" applyFont="1" applyAlignment="1">
      <alignment horizontal="center"/>
    </xf>
    <xf numFmtId="0" fontId="10" fillId="0" borderId="17" xfId="0" applyFont="1" applyBorder="1" applyAlignment="1">
      <alignment vertical="top" wrapText="1"/>
    </xf>
    <xf numFmtId="0" fontId="14" fillId="0" borderId="0" xfId="0" applyFont="1" applyAlignment="1">
      <alignment wrapText="1"/>
    </xf>
    <xf numFmtId="0" fontId="3" fillId="0" borderId="0" xfId="0" applyFont="1" applyAlignment="1">
      <alignment wrapText="1"/>
    </xf>
    <xf numFmtId="0" fontId="0" fillId="0" borderId="0" xfId="0" applyAlignment="1">
      <alignment horizontal="center"/>
    </xf>
    <xf numFmtId="0" fontId="8" fillId="2" borderId="18" xfId="0" applyFont="1" applyFill="1" applyBorder="1" applyAlignment="1">
      <alignment horizontal="center" vertical="center" wrapText="1"/>
    </xf>
    <xf numFmtId="0" fontId="0" fillId="7" borderId="0" xfId="0" applyFill="1" applyAlignment="1">
      <alignment wrapText="1"/>
    </xf>
    <xf numFmtId="0" fontId="12" fillId="3" borderId="19" xfId="0" applyFont="1" applyFill="1" applyBorder="1" applyAlignment="1">
      <alignment vertical="center" wrapText="1"/>
    </xf>
    <xf numFmtId="0" fontId="12" fillId="3" borderId="20" xfId="0" applyFont="1" applyFill="1" applyBorder="1" applyAlignment="1">
      <alignment vertical="center" wrapText="1"/>
    </xf>
    <xf numFmtId="0" fontId="12" fillId="3" borderId="21" xfId="0" applyFont="1" applyFill="1" applyBorder="1" applyAlignment="1">
      <alignment vertical="center" wrapText="1"/>
    </xf>
    <xf numFmtId="0" fontId="4" fillId="0" borderId="18" xfId="0" applyFont="1" applyBorder="1" applyAlignment="1">
      <alignment wrapText="1"/>
    </xf>
    <xf numFmtId="0" fontId="4" fillId="7" borderId="15" xfId="0" applyFont="1" applyFill="1" applyBorder="1" applyAlignment="1">
      <alignment horizontal="center"/>
    </xf>
    <xf numFmtId="0" fontId="0" fillId="7" borderId="22" xfId="0" applyFill="1" applyBorder="1" applyAlignment="1">
      <alignment wrapText="1"/>
    </xf>
    <xf numFmtId="0" fontId="0" fillId="7" borderId="23" xfId="0" applyFill="1" applyBorder="1" applyAlignment="1">
      <alignment wrapText="1"/>
    </xf>
    <xf numFmtId="0" fontId="17" fillId="0" borderId="0" xfId="0" applyFont="1"/>
    <xf numFmtId="0" fontId="9" fillId="8" borderId="24" xfId="0" applyFont="1" applyFill="1" applyBorder="1" applyAlignment="1">
      <alignment horizontal="center"/>
    </xf>
    <xf numFmtId="0" fontId="9" fillId="8" borderId="25" xfId="0" applyFont="1" applyFill="1" applyBorder="1" applyAlignment="1">
      <alignment horizontal="center"/>
    </xf>
    <xf numFmtId="0" fontId="4" fillId="7" borderId="26" xfId="0" applyFont="1" applyFill="1" applyBorder="1"/>
    <xf numFmtId="0" fontId="0" fillId="7" borderId="18" xfId="0" applyFill="1" applyBorder="1"/>
    <xf numFmtId="0" fontId="17" fillId="0" borderId="0" xfId="0" applyFont="1" applyAlignment="1">
      <alignment horizontal="right"/>
    </xf>
    <xf numFmtId="0" fontId="0" fillId="0" borderId="27" xfId="0" applyBorder="1"/>
    <xf numFmtId="0" fontId="4" fillId="9" borderId="28" xfId="0" applyFont="1" applyFill="1" applyBorder="1"/>
    <xf numFmtId="0" fontId="0" fillId="0" borderId="17" xfId="0" applyBorder="1"/>
    <xf numFmtId="0" fontId="0" fillId="0" borderId="29" xfId="0" applyBorder="1"/>
    <xf numFmtId="0" fontId="4" fillId="9" borderId="14" xfId="0" applyFont="1" applyFill="1" applyBorder="1"/>
    <xf numFmtId="0" fontId="18" fillId="0" borderId="0" xfId="0" applyFont="1"/>
    <xf numFmtId="0" fontId="0" fillId="9" borderId="1" xfId="0" applyFill="1" applyBorder="1"/>
    <xf numFmtId="0" fontId="0" fillId="9" borderId="3" xfId="0" applyFill="1" applyBorder="1"/>
    <xf numFmtId="0" fontId="0" fillId="7" borderId="1" xfId="0" applyFill="1" applyBorder="1"/>
    <xf numFmtId="0" fontId="0" fillId="7" borderId="3" xfId="0" applyFill="1" applyBorder="1"/>
    <xf numFmtId="0" fontId="9" fillId="10" borderId="0" xfId="0" applyFont="1" applyFill="1" applyAlignment="1">
      <alignment horizontal="center"/>
    </xf>
    <xf numFmtId="0" fontId="0" fillId="0" borderId="14" xfId="0" applyBorder="1"/>
    <xf numFmtId="0" fontId="0" fillId="0" borderId="12" xfId="0" applyBorder="1"/>
    <xf numFmtId="0" fontId="9" fillId="8" borderId="32" xfId="0" applyFont="1" applyFill="1" applyBorder="1" applyAlignment="1">
      <alignment horizontal="center"/>
    </xf>
    <xf numFmtId="0" fontId="16" fillId="2" borderId="0" xfId="0" applyFont="1" applyFill="1" applyAlignment="1">
      <alignment horizontal="center"/>
    </xf>
    <xf numFmtId="0" fontId="4" fillId="0" borderId="18" xfId="0" applyFont="1" applyBorder="1" applyAlignment="1">
      <alignment vertical="top" wrapText="1"/>
    </xf>
    <xf numFmtId="0" fontId="9" fillId="3" borderId="17" xfId="0" applyFont="1" applyFill="1" applyBorder="1" applyAlignment="1">
      <alignment wrapText="1"/>
    </xf>
    <xf numFmtId="0" fontId="4" fillId="0" borderId="33" xfId="0" applyFont="1" applyBorder="1" applyAlignment="1">
      <alignment vertical="top" wrapText="1"/>
    </xf>
    <xf numFmtId="0" fontId="4" fillId="0" borderId="34" xfId="0" applyFont="1" applyBorder="1" applyAlignment="1">
      <alignment vertical="top" wrapText="1"/>
    </xf>
    <xf numFmtId="0" fontId="19" fillId="0" borderId="0" xfId="0" applyFont="1" applyFill="1" applyBorder="1"/>
    <xf numFmtId="0" fontId="10" fillId="0" borderId="0" xfId="0" applyFont="1" applyBorder="1"/>
    <xf numFmtId="0" fontId="10" fillId="0" borderId="0" xfId="0" applyFont="1"/>
    <xf numFmtId="0" fontId="19" fillId="0" borderId="0" xfId="0" applyFont="1" applyFill="1"/>
    <xf numFmtId="0" fontId="9" fillId="11" borderId="7" xfId="0" applyFont="1" applyFill="1" applyBorder="1"/>
    <xf numFmtId="0" fontId="10" fillId="0" borderId="1" xfId="0" applyFont="1" applyFill="1" applyBorder="1"/>
    <xf numFmtId="0" fontId="4" fillId="0" borderId="7" xfId="0" applyFont="1" applyBorder="1" applyAlignment="1">
      <alignment horizontal="right"/>
    </xf>
    <xf numFmtId="0" fontId="20" fillId="0" borderId="0" xfId="0" applyFont="1"/>
    <xf numFmtId="0" fontId="10" fillId="0" borderId="0" xfId="2" applyAlignment="1">
      <alignment vertical="center"/>
    </xf>
    <xf numFmtId="0" fontId="10" fillId="0" borderId="0" xfId="2" applyAlignment="1">
      <alignment wrapText="1"/>
    </xf>
    <xf numFmtId="0" fontId="10" fillId="0" borderId="0" xfId="2"/>
    <xf numFmtId="0" fontId="4" fillId="0" borderId="7" xfId="2" applyFont="1" applyBorder="1" applyAlignment="1">
      <alignment horizontal="center"/>
    </xf>
    <xf numFmtId="0" fontId="4" fillId="0" borderId="7" xfId="2" applyFont="1" applyBorder="1"/>
    <xf numFmtId="0" fontId="10" fillId="0" borderId="7" xfId="2" applyBorder="1"/>
    <xf numFmtId="0" fontId="10" fillId="0" borderId="7" xfId="2" applyFont="1" applyBorder="1" applyAlignment="1">
      <alignment horizontal="center"/>
    </xf>
    <xf numFmtId="14" fontId="10" fillId="0" borderId="7" xfId="2" applyNumberFormat="1" applyBorder="1" applyAlignment="1">
      <alignment horizontal="center"/>
    </xf>
    <xf numFmtId="0" fontId="6" fillId="0" borderId="0" xfId="0" applyFont="1" applyAlignment="1">
      <alignment vertical="center"/>
    </xf>
    <xf numFmtId="0" fontId="6" fillId="0" borderId="27" xfId="0" applyFont="1" applyBorder="1" applyAlignment="1">
      <alignment horizontal="center" vertical="center"/>
    </xf>
    <xf numFmtId="0" fontId="6" fillId="0" borderId="35" xfId="0" applyFont="1" applyBorder="1" applyAlignment="1">
      <alignment horizontal="center" vertical="center"/>
    </xf>
    <xf numFmtId="0" fontId="22" fillId="0" borderId="35" xfId="0" applyFont="1" applyBorder="1" applyAlignment="1">
      <alignment horizontal="center" vertical="center"/>
    </xf>
    <xf numFmtId="0" fontId="6" fillId="0" borderId="16" xfId="0" applyFont="1" applyBorder="1" applyAlignment="1">
      <alignment horizontal="center" vertical="center"/>
    </xf>
    <xf numFmtId="0" fontId="6" fillId="0" borderId="36" xfId="0" applyFont="1" applyBorder="1" applyAlignment="1">
      <alignment horizontal="center" vertical="center"/>
    </xf>
    <xf numFmtId="9" fontId="6" fillId="0" borderId="36" xfId="3" applyFont="1" applyBorder="1" applyAlignment="1">
      <alignment horizontal="center" vertical="center"/>
    </xf>
    <xf numFmtId="0" fontId="22" fillId="0" borderId="36" xfId="0" applyFont="1" applyBorder="1" applyAlignment="1">
      <alignment horizontal="center" vertical="center"/>
    </xf>
    <xf numFmtId="0" fontId="6" fillId="0" borderId="35" xfId="0" applyFont="1" applyBorder="1" applyAlignment="1">
      <alignment vertical="center"/>
    </xf>
    <xf numFmtId="0" fontId="6" fillId="0" borderId="33" xfId="0" applyFont="1" applyBorder="1" applyAlignment="1">
      <alignment vertical="center"/>
    </xf>
    <xf numFmtId="0" fontId="6" fillId="0" borderId="34" xfId="0" applyFont="1" applyBorder="1" applyAlignment="1">
      <alignment vertical="center"/>
    </xf>
    <xf numFmtId="0" fontId="6" fillId="0" borderId="36" xfId="0" applyFont="1" applyBorder="1" applyAlignment="1">
      <alignment vertical="center"/>
    </xf>
    <xf numFmtId="0" fontId="22" fillId="0" borderId="0" xfId="0" applyFont="1" applyBorder="1" applyAlignment="1">
      <alignment horizontal="center" vertical="center"/>
    </xf>
    <xf numFmtId="0" fontId="10" fillId="0" borderId="7" xfId="2" quotePrefix="1" applyFont="1" applyBorder="1" applyAlignment="1">
      <alignment wrapText="1"/>
    </xf>
    <xf numFmtId="0" fontId="2" fillId="0" borderId="7" xfId="0" applyFont="1" applyBorder="1" applyAlignment="1">
      <alignment horizontal="center" vertical="top"/>
    </xf>
    <xf numFmtId="0" fontId="2" fillId="0" borderId="7" xfId="0" applyFont="1" applyBorder="1" applyAlignment="1">
      <alignment vertical="top" wrapText="1"/>
    </xf>
    <xf numFmtId="0" fontId="2" fillId="0" borderId="7" xfId="0" applyFont="1" applyFill="1" applyBorder="1" applyAlignment="1">
      <alignment horizontal="center" vertical="top"/>
    </xf>
    <xf numFmtId="0" fontId="10" fillId="0" borderId="14" xfId="0" applyFont="1" applyBorder="1" applyAlignment="1">
      <alignment vertical="top" wrapText="1"/>
    </xf>
    <xf numFmtId="0" fontId="13" fillId="7" borderId="23" xfId="0" applyFont="1" applyFill="1" applyBorder="1" applyAlignment="1">
      <alignment horizontal="center" wrapText="1"/>
    </xf>
    <xf numFmtId="164" fontId="0" fillId="0" borderId="7" xfId="1" applyNumberFormat="1" applyFont="1" applyBorder="1" applyAlignment="1">
      <alignment horizontal="left"/>
    </xf>
    <xf numFmtId="164" fontId="4" fillId="0" borderId="7" xfId="1" applyNumberFormat="1" applyFont="1" applyBorder="1" applyAlignment="1">
      <alignment horizontal="left"/>
    </xf>
    <xf numFmtId="0" fontId="9" fillId="11" borderId="7" xfId="0" applyFont="1" applyFill="1" applyBorder="1" applyAlignment="1">
      <alignment horizontal="center"/>
    </xf>
    <xf numFmtId="0" fontId="15" fillId="0" borderId="0" xfId="0" applyFont="1" applyAlignment="1">
      <alignment vertical="center"/>
    </xf>
    <xf numFmtId="0" fontId="13" fillId="7" borderId="15" xfId="0" applyFont="1" applyFill="1" applyBorder="1" applyAlignment="1">
      <alignment horizontal="center" wrapText="1"/>
    </xf>
    <xf numFmtId="0" fontId="10" fillId="0" borderId="7" xfId="2" applyFont="1" applyBorder="1" applyAlignment="1">
      <alignment wrapText="1"/>
    </xf>
    <xf numFmtId="2" fontId="0" fillId="0" borderId="13" xfId="0" applyNumberFormat="1" applyBorder="1"/>
    <xf numFmtId="2" fontId="0" fillId="0" borderId="11" xfId="0" applyNumberFormat="1" applyBorder="1"/>
    <xf numFmtId="14" fontId="10" fillId="0" borderId="7" xfId="2" applyNumberFormat="1" applyFont="1" applyBorder="1" applyAlignment="1">
      <alignment horizontal="center"/>
    </xf>
    <xf numFmtId="0" fontId="0" fillId="0" borderId="40" xfId="0" applyBorder="1"/>
    <xf numFmtId="0" fontId="10" fillId="0" borderId="0" xfId="0" applyFont="1" applyAlignment="1">
      <alignment wrapText="1"/>
    </xf>
    <xf numFmtId="0" fontId="8" fillId="2" borderId="41" xfId="0" applyFont="1" applyFill="1" applyBorder="1" applyAlignment="1">
      <alignment horizontal="center" vertical="center" wrapText="1"/>
    </xf>
    <xf numFmtId="0" fontId="9" fillId="11" borderId="7" xfId="0" applyFont="1" applyFill="1" applyBorder="1" applyAlignment="1"/>
    <xf numFmtId="0" fontId="10" fillId="0" borderId="0" xfId="0" applyFont="1" applyAlignment="1"/>
    <xf numFmtId="0" fontId="10" fillId="0" borderId="0" xfId="0" applyFont="1" applyBorder="1" applyAlignment="1">
      <alignment wrapText="1"/>
    </xf>
    <xf numFmtId="0" fontId="9" fillId="11" borderId="7" xfId="0" applyFont="1" applyFill="1" applyBorder="1" applyAlignment="1">
      <alignment wrapText="1"/>
    </xf>
    <xf numFmtId="0" fontId="4" fillId="0" borderId="7" xfId="0" applyFont="1" applyFill="1" applyBorder="1" applyAlignment="1">
      <alignment vertical="top"/>
    </xf>
    <xf numFmtId="0" fontId="2" fillId="0" borderId="7" xfId="2" applyFont="1" applyBorder="1" applyAlignment="1">
      <alignment wrapText="1"/>
    </xf>
    <xf numFmtId="0" fontId="26" fillId="0" borderId="0" xfId="0" applyFont="1"/>
    <xf numFmtId="0" fontId="2" fillId="0" borderId="14" xfId="0" applyFont="1" applyBorder="1" applyAlignment="1">
      <alignment vertical="top" wrapText="1"/>
    </xf>
    <xf numFmtId="0" fontId="0" fillId="0" borderId="0" xfId="0" applyBorder="1"/>
    <xf numFmtId="0" fontId="9" fillId="11" borderId="7" xfId="0" quotePrefix="1" applyFont="1" applyFill="1" applyBorder="1" applyAlignment="1">
      <alignment horizontal="center"/>
    </xf>
    <xf numFmtId="0" fontId="2" fillId="0" borderId="7" xfId="0" applyFont="1" applyBorder="1" applyAlignment="1">
      <alignment horizontal="center" vertical="center"/>
    </xf>
    <xf numFmtId="0" fontId="2" fillId="0" borderId="7" xfId="0" applyFont="1" applyBorder="1" applyAlignment="1">
      <alignment horizontal="center" vertical="center" wrapText="1"/>
    </xf>
    <xf numFmtId="0" fontId="2" fillId="0" borderId="7" xfId="0" applyFont="1" applyFill="1" applyBorder="1" applyAlignment="1">
      <alignment horizontal="center" vertical="center" wrapText="1"/>
    </xf>
    <xf numFmtId="0" fontId="2" fillId="0" borderId="7" xfId="0" applyFont="1" applyFill="1" applyBorder="1" applyAlignment="1">
      <alignment horizontal="center" vertical="center"/>
    </xf>
    <xf numFmtId="0" fontId="2" fillId="0" borderId="0" xfId="0" applyFont="1" applyAlignment="1">
      <alignment vertical="center" wrapText="1"/>
    </xf>
    <xf numFmtId="0" fontId="9" fillId="2" borderId="0" xfId="0" applyFont="1" applyFill="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vertical="center" wrapText="1"/>
    </xf>
    <xf numFmtId="0" fontId="6" fillId="0" borderId="26" xfId="0" applyFont="1" applyBorder="1" applyAlignment="1">
      <alignment horizontal="center" vertical="center"/>
    </xf>
    <xf numFmtId="0" fontId="6" fillId="0" borderId="43" xfId="0" applyFont="1" applyBorder="1" applyAlignment="1">
      <alignment horizontal="center" vertical="center"/>
    </xf>
    <xf numFmtId="9" fontId="6" fillId="0" borderId="43" xfId="3" applyFont="1" applyBorder="1" applyAlignment="1">
      <alignment horizontal="center" vertical="center"/>
    </xf>
    <xf numFmtId="0" fontId="22" fillId="0" borderId="43" xfId="0" applyFont="1" applyBorder="1" applyAlignment="1">
      <alignment horizontal="center" vertical="center"/>
    </xf>
    <xf numFmtId="0" fontId="6" fillId="0" borderId="43" xfId="0" applyFont="1" applyBorder="1" applyAlignment="1">
      <alignment vertical="center"/>
    </xf>
    <xf numFmtId="0" fontId="6" fillId="0" borderId="18" xfId="0" applyFont="1" applyBorder="1" applyAlignment="1">
      <alignment vertical="center"/>
    </xf>
    <xf numFmtId="0" fontId="0" fillId="0" borderId="0" xfId="0" applyAlignment="1">
      <alignment vertical="top"/>
    </xf>
    <xf numFmtId="0" fontId="6" fillId="0" borderId="0" xfId="0" applyFont="1" applyAlignment="1">
      <alignment vertical="top"/>
    </xf>
    <xf numFmtId="0" fontId="0" fillId="0" borderId="29" xfId="0" applyBorder="1" applyAlignment="1">
      <alignment vertical="top"/>
    </xf>
    <xf numFmtId="0" fontId="10" fillId="0" borderId="0" xfId="0" applyFont="1" applyAlignment="1">
      <alignment vertical="center" wrapText="1"/>
    </xf>
    <xf numFmtId="0" fontId="16" fillId="2" borderId="0" xfId="0" applyFont="1" applyFill="1" applyAlignment="1">
      <alignment horizontal="center" vertical="center"/>
    </xf>
    <xf numFmtId="0" fontId="4" fillId="6"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4" fillId="6" borderId="13" xfId="0" applyNumberFormat="1" applyFont="1" applyFill="1" applyBorder="1" applyAlignment="1">
      <alignment vertical="center"/>
    </xf>
    <xf numFmtId="0" fontId="2" fillId="0" borderId="7" xfId="0" applyFont="1" applyBorder="1" applyAlignment="1">
      <alignment vertical="center" wrapText="1"/>
    </xf>
    <xf numFmtId="0" fontId="0" fillId="0" borderId="7" xfId="0" applyBorder="1" applyAlignment="1">
      <alignment horizontal="center" vertical="center"/>
    </xf>
    <xf numFmtId="0" fontId="4" fillId="6" borderId="39" xfId="0" applyFont="1" applyFill="1" applyBorder="1" applyAlignment="1">
      <alignment vertical="center"/>
    </xf>
    <xf numFmtId="0" fontId="0" fillId="0" borderId="30" xfId="0" applyBorder="1" applyAlignment="1">
      <alignment horizontal="center" vertical="center"/>
    </xf>
    <xf numFmtId="0" fontId="2" fillId="0" borderId="30" xfId="0" applyFont="1" applyBorder="1" applyAlignment="1">
      <alignment horizontal="center" vertical="center"/>
    </xf>
    <xf numFmtId="0" fontId="2" fillId="0" borderId="30" xfId="0" applyFont="1" applyBorder="1" applyAlignment="1">
      <alignment vertical="center" wrapText="1"/>
    </xf>
    <xf numFmtId="0" fontId="2" fillId="0" borderId="30" xfId="0" applyFont="1" applyBorder="1" applyAlignment="1">
      <alignment horizontal="center" vertical="center" wrapText="1"/>
    </xf>
    <xf numFmtId="0" fontId="2" fillId="0" borderId="30" xfId="0" applyFont="1" applyFill="1" applyBorder="1" applyAlignment="1">
      <alignment horizontal="center" vertical="center"/>
    </xf>
    <xf numFmtId="0" fontId="4" fillId="6" borderId="13" xfId="0" applyFont="1" applyFill="1" applyBorder="1" applyAlignment="1">
      <alignment vertical="center"/>
    </xf>
    <xf numFmtId="0" fontId="10" fillId="0" borderId="7" xfId="0" applyFont="1" applyBorder="1" applyAlignment="1">
      <alignment horizontal="center" vertical="center"/>
    </xf>
    <xf numFmtId="0" fontId="10" fillId="0" borderId="7" xfId="0" applyFont="1" applyBorder="1" applyAlignment="1">
      <alignment vertical="center" wrapText="1"/>
    </xf>
    <xf numFmtId="0" fontId="10" fillId="0" borderId="7" xfId="0" applyFont="1" applyBorder="1" applyAlignment="1">
      <alignment horizontal="center" vertical="center" wrapText="1"/>
    </xf>
    <xf numFmtId="0" fontId="10" fillId="0" borderId="7" xfId="0" applyFont="1" applyFill="1" applyBorder="1" applyAlignment="1">
      <alignment horizontal="center" vertical="center"/>
    </xf>
    <xf numFmtId="0" fontId="2" fillId="0" borderId="14" xfId="0" applyFont="1" applyBorder="1" applyAlignment="1">
      <alignment vertical="center" wrapText="1"/>
    </xf>
    <xf numFmtId="0" fontId="10" fillId="0" borderId="14" xfId="0" applyFont="1" applyBorder="1" applyAlignment="1">
      <alignment vertical="center" wrapText="1"/>
    </xf>
    <xf numFmtId="0" fontId="4" fillId="0" borderId="14" xfId="0" applyFont="1" applyBorder="1" applyAlignment="1">
      <alignment vertical="center" wrapText="1"/>
    </xf>
    <xf numFmtId="0" fontId="4" fillId="0" borderId="31" xfId="0" applyFont="1" applyBorder="1" applyAlignment="1">
      <alignment vertical="center" wrapText="1"/>
    </xf>
    <xf numFmtId="0" fontId="10" fillId="0" borderId="30" xfId="0" applyFont="1" applyBorder="1" applyAlignment="1">
      <alignment horizontal="center" vertical="center"/>
    </xf>
    <xf numFmtId="0" fontId="10" fillId="0" borderId="30" xfId="0" applyFont="1" applyBorder="1" applyAlignment="1">
      <alignment vertical="center" wrapText="1"/>
    </xf>
    <xf numFmtId="0" fontId="10" fillId="0" borderId="30" xfId="0" applyFont="1" applyBorder="1" applyAlignment="1">
      <alignment horizontal="center" vertical="center" wrapText="1"/>
    </xf>
    <xf numFmtId="0" fontId="10" fillId="0" borderId="30" xfId="0" applyFont="1" applyFill="1" applyBorder="1" applyAlignment="1">
      <alignment horizontal="center" vertical="center"/>
    </xf>
    <xf numFmtId="0" fontId="4" fillId="6" borderId="42" xfId="0" applyNumberFormat="1" applyFont="1" applyFill="1" applyBorder="1" applyAlignment="1">
      <alignment vertical="center"/>
    </xf>
    <xf numFmtId="0" fontId="10" fillId="0" borderId="37" xfId="0" applyFont="1" applyBorder="1" applyAlignment="1">
      <alignment vertical="center" wrapText="1"/>
    </xf>
    <xf numFmtId="0" fontId="10" fillId="0" borderId="37" xfId="0" applyFont="1" applyBorder="1" applyAlignment="1">
      <alignment horizontal="center" vertical="center" wrapText="1"/>
    </xf>
    <xf numFmtId="0" fontId="10" fillId="0" borderId="37" xfId="0" applyFont="1" applyFill="1" applyBorder="1" applyAlignment="1">
      <alignment horizontal="center" vertical="center"/>
    </xf>
    <xf numFmtId="0" fontId="2" fillId="0" borderId="38" xfId="0" applyFont="1" applyBorder="1" applyAlignment="1">
      <alignment vertical="center" wrapText="1"/>
    </xf>
    <xf numFmtId="0" fontId="0" fillId="0" borderId="7"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4" fillId="4" borderId="0" xfId="0" applyFont="1" applyFill="1" applyBorder="1" applyAlignment="1">
      <alignment horizontal="center" vertical="center" wrapText="1"/>
    </xf>
    <xf numFmtId="0" fontId="4" fillId="4" borderId="13" xfId="0" applyFont="1" applyFill="1" applyBorder="1" applyAlignment="1">
      <alignment vertical="center"/>
    </xf>
    <xf numFmtId="0" fontId="2" fillId="0" borderId="37" xfId="0" applyFont="1" applyBorder="1" applyAlignment="1">
      <alignment vertical="center" wrapText="1"/>
    </xf>
    <xf numFmtId="0" fontId="2" fillId="0" borderId="37" xfId="0" applyFont="1" applyFill="1" applyBorder="1" applyAlignment="1">
      <alignment horizontal="center" vertical="center"/>
    </xf>
    <xf numFmtId="0" fontId="0" fillId="0" borderId="38" xfId="0" applyBorder="1" applyAlignment="1">
      <alignment vertical="center" wrapText="1"/>
    </xf>
    <xf numFmtId="0" fontId="0" fillId="0" borderId="31" xfId="0" applyBorder="1" applyAlignment="1">
      <alignment vertical="center" wrapText="1"/>
    </xf>
    <xf numFmtId="0" fontId="4" fillId="13" borderId="0" xfId="0" applyFont="1" applyFill="1" applyBorder="1" applyAlignment="1">
      <alignment horizontal="center" vertical="center" wrapText="1"/>
    </xf>
    <xf numFmtId="0" fontId="4" fillId="13" borderId="13" xfId="0" applyFont="1" applyFill="1" applyBorder="1" applyAlignment="1">
      <alignment vertical="center"/>
    </xf>
    <xf numFmtId="0" fontId="0" fillId="0" borderId="7" xfId="0" applyBorder="1" applyAlignment="1">
      <alignment horizontal="center" vertical="center" wrapText="1"/>
    </xf>
    <xf numFmtId="0" fontId="2" fillId="0" borderId="7" xfId="0" applyFont="1" applyFill="1" applyBorder="1" applyAlignment="1">
      <alignment vertical="center" wrapText="1"/>
    </xf>
    <xf numFmtId="0" fontId="4" fillId="5" borderId="0" xfId="0" applyFont="1" applyFill="1" applyBorder="1" applyAlignment="1">
      <alignment horizontal="center" vertical="center" wrapText="1"/>
    </xf>
    <xf numFmtId="0" fontId="4" fillId="5" borderId="41" xfId="0" applyFont="1" applyFill="1" applyBorder="1" applyAlignment="1">
      <alignment vertical="center"/>
    </xf>
    <xf numFmtId="0" fontId="4" fillId="5" borderId="13" xfId="0" applyFont="1" applyFill="1" applyBorder="1" applyAlignment="1">
      <alignment vertical="center"/>
    </xf>
    <xf numFmtId="0" fontId="9" fillId="3" borderId="0" xfId="0" applyFont="1" applyFill="1" applyBorder="1" applyAlignment="1">
      <alignment horizontal="center" vertical="center" wrapText="1"/>
    </xf>
    <xf numFmtId="0" fontId="16" fillId="2" borderId="0" xfId="0" applyFont="1" applyFill="1" applyBorder="1" applyAlignment="1">
      <alignment horizontal="center" vertical="center"/>
    </xf>
    <xf numFmtId="0" fontId="4" fillId="3" borderId="13" xfId="0" applyFont="1" applyFill="1" applyBorder="1" applyAlignment="1">
      <alignment vertical="center"/>
    </xf>
    <xf numFmtId="0" fontId="4" fillId="3" borderId="13" xfId="0" applyFont="1" applyFill="1" applyBorder="1" applyAlignment="1">
      <alignment horizontal="justify" vertical="center" wrapText="1"/>
    </xf>
    <xf numFmtId="0" fontId="2" fillId="14" borderId="7" xfId="0" applyFont="1" applyFill="1" applyBorder="1" applyAlignment="1">
      <alignment vertical="center" wrapText="1"/>
    </xf>
    <xf numFmtId="0" fontId="2" fillId="14" borderId="7" xfId="0" applyFont="1" applyFill="1" applyBorder="1" applyAlignment="1">
      <alignment horizontal="center" vertical="center"/>
    </xf>
    <xf numFmtId="0" fontId="0" fillId="14" borderId="7" xfId="0" applyFill="1" applyBorder="1" applyAlignment="1">
      <alignment horizontal="center" vertical="center"/>
    </xf>
    <xf numFmtId="0" fontId="0" fillId="14" borderId="7" xfId="0" applyFill="1" applyBorder="1" applyAlignment="1">
      <alignment horizontal="center" vertical="center" wrapText="1"/>
    </xf>
    <xf numFmtId="0" fontId="0" fillId="14" borderId="7" xfId="0" applyFill="1" applyBorder="1" applyAlignment="1">
      <alignment vertical="center" wrapText="1"/>
    </xf>
    <xf numFmtId="0" fontId="2" fillId="15" borderId="7" xfId="0" applyFont="1" applyFill="1" applyBorder="1" applyAlignment="1">
      <alignment vertical="center" wrapText="1"/>
    </xf>
    <xf numFmtId="0" fontId="2" fillId="15" borderId="7" xfId="0" applyFont="1" applyFill="1" applyBorder="1" applyAlignment="1">
      <alignment horizontal="center" vertical="center"/>
    </xf>
    <xf numFmtId="0" fontId="2" fillId="15" borderId="7" xfId="0" applyFont="1" applyFill="1" applyBorder="1" applyAlignment="1">
      <alignment horizontal="center" vertical="center" wrapText="1"/>
    </xf>
    <xf numFmtId="0" fontId="0" fillId="15" borderId="7" xfId="0" applyFill="1" applyBorder="1" applyAlignment="1">
      <alignment horizontal="center" vertical="center"/>
    </xf>
    <xf numFmtId="0" fontId="10" fillId="15" borderId="7" xfId="0" applyFont="1" applyFill="1" applyBorder="1" applyAlignment="1">
      <alignment horizontal="center" vertical="center"/>
    </xf>
    <xf numFmtId="0" fontId="10" fillId="15" borderId="7" xfId="0" applyFont="1" applyFill="1" applyBorder="1" applyAlignment="1">
      <alignment vertical="center" wrapText="1"/>
    </xf>
    <xf numFmtId="0" fontId="10" fillId="15" borderId="7" xfId="0" applyFont="1" applyFill="1" applyBorder="1" applyAlignment="1">
      <alignment horizontal="center" vertical="center" wrapText="1"/>
    </xf>
    <xf numFmtId="0" fontId="2" fillId="0" borderId="7" xfId="0" applyFont="1" applyBorder="1" applyAlignment="1">
      <alignment wrapText="1"/>
    </xf>
    <xf numFmtId="0" fontId="0" fillId="0" borderId="7" xfId="0" applyBorder="1" applyAlignment="1">
      <alignment horizontal="center" vertical="top"/>
    </xf>
    <xf numFmtId="0" fontId="2" fillId="0" borderId="7" xfId="0" applyFont="1" applyBorder="1" applyAlignment="1">
      <alignment horizontal="center" vertical="top" wrapText="1"/>
    </xf>
    <xf numFmtId="0" fontId="2" fillId="0" borderId="7" xfId="0" applyFont="1" applyFill="1" applyBorder="1" applyAlignment="1">
      <alignment horizontal="center" vertical="top" wrapText="1"/>
    </xf>
    <xf numFmtId="0" fontId="2" fillId="0" borderId="14" xfId="4" applyFont="1" applyBorder="1" applyAlignment="1">
      <alignment vertical="center" wrapText="1"/>
    </xf>
    <xf numFmtId="0" fontId="2" fillId="0" borderId="7" xfId="4" applyFont="1" applyBorder="1" applyAlignment="1">
      <alignment vertical="center" wrapText="1"/>
    </xf>
    <xf numFmtId="0" fontId="28" fillId="0" borderId="14" xfId="0" applyFont="1" applyBorder="1" applyAlignment="1">
      <alignment vertical="center" wrapText="1"/>
    </xf>
    <xf numFmtId="0" fontId="4" fillId="16" borderId="14" xfId="0" applyFont="1" applyFill="1" applyBorder="1" applyAlignment="1">
      <alignment vertical="center" wrapText="1"/>
    </xf>
    <xf numFmtId="0" fontId="2" fillId="17" borderId="7" xfId="0" applyFont="1" applyFill="1" applyBorder="1" applyAlignment="1">
      <alignment vertical="center" wrapText="1"/>
    </xf>
    <xf numFmtId="0" fontId="2" fillId="17" borderId="7" xfId="0" applyFont="1" applyFill="1" applyBorder="1" applyAlignment="1">
      <alignment horizontal="center" vertical="center"/>
    </xf>
    <xf numFmtId="0" fontId="10" fillId="17" borderId="7" xfId="0" applyFont="1" applyFill="1" applyBorder="1" applyAlignment="1">
      <alignment horizontal="center" vertical="center"/>
    </xf>
    <xf numFmtId="0" fontId="2" fillId="17" borderId="7" xfId="0" applyFont="1" applyFill="1" applyBorder="1" applyAlignment="1">
      <alignment horizontal="center" vertical="center" wrapText="1"/>
    </xf>
    <xf numFmtId="0" fontId="0" fillId="17" borderId="7" xfId="0" applyFill="1" applyBorder="1" applyAlignment="1">
      <alignment horizontal="center" vertical="center"/>
    </xf>
    <xf numFmtId="0" fontId="0" fillId="17" borderId="7" xfId="0" applyFill="1" applyBorder="1" applyAlignment="1">
      <alignment horizontal="center" vertical="center" wrapText="1"/>
    </xf>
    <xf numFmtId="0" fontId="0" fillId="17" borderId="7" xfId="0" applyFill="1" applyBorder="1" applyAlignment="1">
      <alignment vertical="center" wrapText="1"/>
    </xf>
    <xf numFmtId="0" fontId="10" fillId="17" borderId="7" xfId="0" applyFont="1" applyFill="1" applyBorder="1" applyAlignment="1">
      <alignment vertical="center" wrapText="1"/>
    </xf>
    <xf numFmtId="0" fontId="0" fillId="0" borderId="44" xfId="0" applyBorder="1"/>
    <xf numFmtId="0" fontId="10" fillId="0" borderId="45" xfId="0" applyFont="1" applyFill="1" applyBorder="1"/>
    <xf numFmtId="0" fontId="0" fillId="0" borderId="45" xfId="0" applyBorder="1"/>
    <xf numFmtId="0" fontId="0" fillId="7" borderId="22" xfId="0" applyFill="1" applyBorder="1"/>
    <xf numFmtId="0" fontId="0" fillId="9" borderId="22" xfId="0" applyFill="1" applyBorder="1"/>
    <xf numFmtId="0" fontId="2" fillId="0" borderId="45" xfId="0" applyFont="1" applyBorder="1"/>
    <xf numFmtId="2" fontId="4" fillId="18" borderId="39" xfId="0" applyNumberFormat="1" applyFont="1" applyFill="1" applyBorder="1"/>
    <xf numFmtId="0" fontId="4" fillId="18" borderId="31" xfId="0" applyFont="1" applyFill="1" applyBorder="1"/>
    <xf numFmtId="14" fontId="4" fillId="18" borderId="30" xfId="0" applyNumberFormat="1" applyFont="1" applyFill="1" applyBorder="1" applyAlignment="1">
      <alignment horizontal="center" vertical="center"/>
    </xf>
    <xf numFmtId="0" fontId="4" fillId="0" borderId="23" xfId="0" applyFont="1" applyBorder="1" applyAlignment="1">
      <alignment wrapText="1"/>
    </xf>
    <xf numFmtId="0" fontId="2" fillId="0" borderId="7" xfId="0" applyFont="1" applyBorder="1"/>
    <xf numFmtId="0" fontId="4" fillId="15" borderId="7" xfId="0" applyFont="1" applyFill="1" applyBorder="1" applyAlignment="1">
      <alignment horizontal="left" vertical="center" wrapText="1"/>
    </xf>
    <xf numFmtId="20" fontId="2" fillId="0" borderId="7" xfId="0" applyNumberFormat="1" applyFont="1" applyBorder="1" applyAlignment="1">
      <alignment vertical="center" wrapText="1"/>
    </xf>
    <xf numFmtId="0" fontId="4" fillId="18" borderId="31" xfId="0" applyFont="1" applyFill="1" applyBorder="1" applyAlignment="1">
      <alignment wrapText="1"/>
    </xf>
    <xf numFmtId="2" fontId="4" fillId="18" borderId="39" xfId="0" applyNumberFormat="1" applyFont="1" applyFill="1" applyBorder="1" applyAlignment="1">
      <alignment vertical="center"/>
    </xf>
    <xf numFmtId="0" fontId="26" fillId="6" borderId="13" xfId="0" applyNumberFormat="1" applyFont="1" applyFill="1" applyBorder="1" applyAlignment="1">
      <alignment vertical="center"/>
    </xf>
    <xf numFmtId="0" fontId="28" fillId="0" borderId="7" xfId="0" applyFont="1" applyBorder="1" applyAlignment="1">
      <alignment vertical="center" wrapText="1"/>
    </xf>
    <xf numFmtId="0" fontId="28" fillId="0" borderId="7" xfId="0" applyFont="1" applyBorder="1" applyAlignment="1">
      <alignment horizontal="center" vertical="center"/>
    </xf>
    <xf numFmtId="0" fontId="28" fillId="0" borderId="7" xfId="0" applyFont="1" applyBorder="1" applyAlignment="1">
      <alignment horizontal="center" vertical="center" wrapText="1"/>
    </xf>
    <xf numFmtId="0" fontId="28" fillId="0" borderId="7" xfId="0" applyFont="1" applyFill="1" applyBorder="1" applyAlignment="1">
      <alignment horizontal="center" vertical="center"/>
    </xf>
    <xf numFmtId="0" fontId="28" fillId="0" borderId="7" xfId="0" applyFont="1" applyFill="1" applyBorder="1" applyAlignment="1">
      <alignment horizontal="center" vertical="center" wrapText="1"/>
    </xf>
    <xf numFmtId="0" fontId="28" fillId="17" borderId="7" xfId="0" applyFont="1" applyFill="1" applyBorder="1" applyAlignment="1">
      <alignment vertical="center" wrapText="1"/>
    </xf>
    <xf numFmtId="0" fontId="28" fillId="17" borderId="7" xfId="0" applyFont="1" applyFill="1" applyBorder="1" applyAlignment="1">
      <alignment horizontal="center" vertical="center"/>
    </xf>
    <xf numFmtId="0" fontId="28" fillId="17" borderId="7"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2" fillId="0" borderId="0" xfId="0" applyFont="1" applyAlignment="1">
      <alignment vertical="top"/>
    </xf>
    <xf numFmtId="0" fontId="2" fillId="6" borderId="13" xfId="0" applyNumberFormat="1" applyFont="1" applyFill="1" applyBorder="1" applyAlignment="1">
      <alignment vertical="center"/>
    </xf>
    <xf numFmtId="0" fontId="2" fillId="0" borderId="31" xfId="0" applyFont="1" applyBorder="1" applyAlignment="1">
      <alignment vertical="center" wrapText="1"/>
    </xf>
    <xf numFmtId="0" fontId="0" fillId="0" borderId="7" xfId="0" applyFill="1" applyBorder="1" applyAlignment="1">
      <alignment horizontal="center" vertical="center"/>
    </xf>
    <xf numFmtId="2" fontId="4" fillId="0" borderId="13" xfId="0" applyNumberFormat="1" applyFont="1" applyBorder="1"/>
    <xf numFmtId="14" fontId="4" fillId="0" borderId="7" xfId="0" applyNumberFormat="1" applyFont="1" applyBorder="1" applyAlignment="1">
      <alignment horizontal="center"/>
    </xf>
    <xf numFmtId="0" fontId="4" fillId="0" borderId="14" xfId="0" applyFont="1" applyBorder="1"/>
    <xf numFmtId="0" fontId="27" fillId="0" borderId="0" xfId="0" applyFont="1" applyAlignment="1">
      <alignment horizontal="right" vertical="center" wrapText="1" indent="1"/>
    </xf>
    <xf numFmtId="0" fontId="9" fillId="2" borderId="0" xfId="0" applyFont="1" applyFill="1" applyBorder="1" applyAlignment="1">
      <alignment horizontal="center" vertical="center" wrapText="1"/>
    </xf>
    <xf numFmtId="0" fontId="10" fillId="0" borderId="0" xfId="0" applyFont="1" applyAlignment="1">
      <alignment horizontal="center" vertical="center" wrapText="1"/>
    </xf>
    <xf numFmtId="0" fontId="10" fillId="0" borderId="0" xfId="0" applyFont="1" applyAlignment="1">
      <alignment horizontal="center" wrapText="1"/>
    </xf>
    <xf numFmtId="0" fontId="15" fillId="0" borderId="0" xfId="0" applyFont="1" applyAlignment="1">
      <alignment horizontal="left" vertical="center"/>
    </xf>
    <xf numFmtId="0" fontId="2" fillId="0" borderId="0" xfId="0" applyFont="1" applyAlignment="1">
      <alignment horizontal="center" vertical="center" wrapText="1"/>
    </xf>
    <xf numFmtId="0" fontId="21" fillId="12" borderId="7" xfId="2" applyFont="1" applyFill="1" applyBorder="1" applyAlignment="1">
      <alignment horizontal="center"/>
    </xf>
  </cellXfs>
  <cellStyles count="5">
    <cellStyle name="Milliers" xfId="1" builtinId="3"/>
    <cellStyle name="Normal" xfId="0" builtinId="0"/>
    <cellStyle name="Normal 2" xfId="4"/>
    <cellStyle name="Normal_XXXnnnCn-CRL-YYYnn_TRI_date" xfId="2"/>
    <cellStyle name="Pourcentage" xfId="3" builtinId="5"/>
  </cellStyles>
  <dxfs count="2047">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mp"/></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20.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2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2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3.jpeg"/></Relationships>
</file>

<file path=xl/drawings/_rels/vmlDrawing25.v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3.jpeg"/><Relationship Id="rId1" Type="http://schemas.openxmlformats.org/officeDocument/2006/relationships/image" Target="../media/image4.jpeg"/></Relationships>
</file>

<file path=xl/drawings/_rels/vmlDrawing26.v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3.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1</xdr:col>
      <xdr:colOff>714375</xdr:colOff>
      <xdr:row>11</xdr:row>
      <xdr:rowOff>38100</xdr:rowOff>
    </xdr:from>
    <xdr:to>
      <xdr:col>1</xdr:col>
      <xdr:colOff>5020276</xdr:colOff>
      <xdr:row>16</xdr:row>
      <xdr:rowOff>57267</xdr:rowOff>
    </xdr:to>
    <xdr:pic>
      <xdr:nvPicPr>
        <xdr:cNvPr id="2" name="Image 1" descr="Capture d’écran"/>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95475" y="3695700"/>
          <a:ext cx="4305901" cy="83831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1781175</xdr:colOff>
          <xdr:row>1</xdr:row>
          <xdr:rowOff>85725</xdr:rowOff>
        </xdr:from>
        <xdr:to>
          <xdr:col>1</xdr:col>
          <xdr:colOff>3467100</xdr:colOff>
          <xdr:row>2</xdr:row>
          <xdr:rowOff>19050</xdr:rowOff>
        </xdr:to>
        <xdr:sp macro="" textlink="">
          <xdr:nvSpPr>
            <xdr:cNvPr id="7175" name="Button 7" hidden="1">
              <a:extLst>
                <a:ext uri="{63B3BB69-23CF-44E3-9099-C40C66FF867C}">
                  <a14:compatExt spid="_x0000_s71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Arial"/>
                  <a:cs typeface="Arial"/>
                </a:rPr>
                <a:t>Extraction synthèse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1</xdr:col>
          <xdr:colOff>152400</xdr:colOff>
          <xdr:row>3</xdr:row>
          <xdr:rowOff>28575</xdr:rowOff>
        </xdr:from>
        <xdr:ext cx="3295650" cy="209550"/>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wrap="none" lIns="18288" tIns="22860" rIns="18288" bIns="22860" anchor="ctr" upright="1">
              <a:spAutoFit/>
            </a:bodyPr>
            <a:lstStyle/>
            <a:p>
              <a:pPr algn="ctr" rtl="0">
                <a:defRPr sz="1000"/>
              </a:pPr>
              <a:r>
                <a:rPr lang="fr-FR" sz="1000" b="0" i="0" u="none" strike="noStrike" baseline="0">
                  <a:solidFill>
                    <a:srgbClr val="000000"/>
                  </a:solidFill>
                  <a:latin typeface="Arial"/>
                  <a:cs typeface="Arial"/>
                </a:rPr>
                <a:t>Enregistrer le nombre d'exigences par état à la date du jour</a:t>
              </a:r>
            </a:p>
          </xdr:txBody>
        </xdr:sp>
        <xdr:clientData fPrintsWithSheet="0"/>
      </xdr:one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vmlDrawing" Target="../drawings/vmlDrawing9.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vmlDrawing" Target="../drawings/vmlDrawing11.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vmlDrawing" Target="../drawings/vmlDrawing13.v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vmlDrawing" Target="../drawings/vmlDrawing15.v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vmlDrawing" Target="../drawings/vmlDrawing17.v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vmlDrawing" Target="../drawings/vmlDrawing19.v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xml"/><Relationship Id="rId1" Type="http://schemas.openxmlformats.org/officeDocument/2006/relationships/printerSettings" Target="../printerSettings/printerSettings12.bin"/><Relationship Id="rId5" Type="http://schemas.openxmlformats.org/officeDocument/2006/relationships/ctrlProp" Target="../ctrlProps/ctrlProp1.xml"/><Relationship Id="rId4" Type="http://schemas.openxmlformats.org/officeDocument/2006/relationships/vmlDrawing" Target="../drawings/vmlDrawing2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3.xml"/><Relationship Id="rId1" Type="http://schemas.openxmlformats.org/officeDocument/2006/relationships/printerSettings" Target="../printerSettings/printerSettings13.bin"/><Relationship Id="rId5" Type="http://schemas.openxmlformats.org/officeDocument/2006/relationships/ctrlProp" Target="../ctrlProps/ctrlProp2.xml"/><Relationship Id="rId4" Type="http://schemas.openxmlformats.org/officeDocument/2006/relationships/vmlDrawing" Target="../drawings/vmlDrawing24.v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_aide" enableFormatConditionsCalculation="0">
    <tabColor indexed="45"/>
    <pageSetUpPr fitToPage="1"/>
  </sheetPr>
  <dimension ref="A1:F35"/>
  <sheetViews>
    <sheetView showGridLines="0" zoomScaleNormal="100" workbookViewId="0">
      <selection activeCell="G9" sqref="G9"/>
    </sheetView>
  </sheetViews>
  <sheetFormatPr baseColWidth="10" defaultRowHeight="12.75" x14ac:dyDescent="0.2"/>
  <cols>
    <col min="1" max="1" width="17.7109375" style="1" customWidth="1"/>
    <col min="2" max="2" width="99.140625" customWidth="1"/>
    <col min="3" max="3" width="21.140625" customWidth="1"/>
  </cols>
  <sheetData>
    <row r="1" spans="1:6" ht="13.5" thickBot="1" x14ac:dyDescent="0.25"/>
    <row r="2" spans="1:6" ht="24" customHeight="1" x14ac:dyDescent="0.2">
      <c r="B2" s="110" t="s">
        <v>143</v>
      </c>
      <c r="C2" s="23"/>
      <c r="D2" s="14"/>
      <c r="E2" s="14"/>
      <c r="F2" s="14"/>
    </row>
    <row r="3" spans="1:6" ht="32.25" customHeight="1" thickBot="1" x14ac:dyDescent="0.25">
      <c r="B3" s="105" t="s">
        <v>114</v>
      </c>
      <c r="C3" s="23"/>
      <c r="D3" s="14"/>
      <c r="E3" s="14"/>
      <c r="F3" s="14"/>
    </row>
    <row r="4" spans="1:6" x14ac:dyDescent="0.2">
      <c r="C4" s="23"/>
      <c r="D4" s="14"/>
      <c r="E4" s="14"/>
      <c r="F4" s="14"/>
    </row>
    <row r="5" spans="1:6" ht="38.25" x14ac:dyDescent="0.2">
      <c r="B5" s="38" t="s">
        <v>146</v>
      </c>
      <c r="C5" s="23"/>
      <c r="D5" s="14"/>
      <c r="E5" s="14"/>
      <c r="F5" s="14"/>
    </row>
    <row r="6" spans="1:6" ht="13.5" thickBot="1" x14ac:dyDescent="0.25">
      <c r="C6" s="23"/>
      <c r="D6" s="14"/>
      <c r="E6" s="14"/>
      <c r="F6" s="14"/>
    </row>
    <row r="7" spans="1:6" x14ac:dyDescent="0.2">
      <c r="B7" s="43" t="s">
        <v>47</v>
      </c>
      <c r="C7" s="23"/>
      <c r="D7" s="14"/>
      <c r="E7" s="14"/>
      <c r="F7" s="14"/>
    </row>
    <row r="8" spans="1:6" ht="38.25" x14ac:dyDescent="0.2">
      <c r="B8" s="44" t="s">
        <v>145</v>
      </c>
      <c r="C8" s="23"/>
      <c r="D8" s="14"/>
      <c r="E8" s="14"/>
      <c r="F8" s="14"/>
    </row>
    <row r="9" spans="1:6" ht="77.25" thickBot="1" x14ac:dyDescent="0.25">
      <c r="B9" s="45" t="s">
        <v>144</v>
      </c>
      <c r="C9" s="23"/>
      <c r="D9" s="14"/>
      <c r="E9" s="14"/>
      <c r="F9" s="14"/>
    </row>
    <row r="11" spans="1:6" x14ac:dyDescent="0.2">
      <c r="A11" s="257" t="s">
        <v>151</v>
      </c>
      <c r="B11" s="124" t="s">
        <v>149</v>
      </c>
    </row>
    <row r="12" spans="1:6" x14ac:dyDescent="0.2">
      <c r="A12" s="257"/>
      <c r="B12" s="124" t="s">
        <v>150</v>
      </c>
    </row>
    <row r="16" spans="1:6" ht="13.5" thickBot="1" x14ac:dyDescent="0.25"/>
    <row r="17" spans="1:3" ht="26.25" thickBot="1" x14ac:dyDescent="0.25">
      <c r="A17" s="24" t="s">
        <v>34</v>
      </c>
      <c r="C17" s="32" t="s">
        <v>38</v>
      </c>
    </row>
    <row r="18" spans="1:3" ht="77.25" thickBot="1" x14ac:dyDescent="0.25">
      <c r="A18" s="30" t="s">
        <v>31</v>
      </c>
      <c r="B18" s="42" t="s">
        <v>73</v>
      </c>
      <c r="C18" s="34" t="s">
        <v>39</v>
      </c>
    </row>
    <row r="19" spans="1:3" ht="13.5" thickBot="1" x14ac:dyDescent="0.25">
      <c r="B19" s="1"/>
    </row>
    <row r="20" spans="1:3" ht="26.25" thickBot="1" x14ac:dyDescent="0.25">
      <c r="A20" s="25" t="s">
        <v>69</v>
      </c>
    </row>
    <row r="21" spans="1:3" ht="77.25" thickBot="1" x14ac:dyDescent="0.25">
      <c r="A21" s="29" t="s">
        <v>32</v>
      </c>
      <c r="B21" s="42" t="s">
        <v>70</v>
      </c>
      <c r="C21" s="34" t="s">
        <v>39</v>
      </c>
    </row>
    <row r="22" spans="1:3" ht="13.5" thickBot="1" x14ac:dyDescent="0.25">
      <c r="B22" s="1"/>
    </row>
    <row r="23" spans="1:3" ht="51.75" thickBot="1" x14ac:dyDescent="0.25">
      <c r="A23" s="26" t="s">
        <v>11</v>
      </c>
    </row>
    <row r="24" spans="1:3" ht="147.75" customHeight="1" thickBot="1" x14ac:dyDescent="0.25">
      <c r="A24" s="28" t="s">
        <v>33</v>
      </c>
      <c r="B24" s="67" t="s">
        <v>3</v>
      </c>
      <c r="C24" s="34" t="s">
        <v>43</v>
      </c>
    </row>
    <row r="25" spans="1:3" ht="13.5" thickBot="1" x14ac:dyDescent="0.25">
      <c r="B25" s="1"/>
    </row>
    <row r="26" spans="1:3" ht="47.25" customHeight="1" thickBot="1" x14ac:dyDescent="0.25">
      <c r="A26" s="27" t="s">
        <v>12</v>
      </c>
      <c r="B26" s="35" t="s">
        <v>68</v>
      </c>
    </row>
    <row r="27" spans="1:3" ht="18.75" customHeight="1" x14ac:dyDescent="0.2">
      <c r="A27" s="68"/>
      <c r="B27" s="69" t="s">
        <v>0</v>
      </c>
    </row>
    <row r="28" spans="1:3" ht="325.5" customHeight="1" thickBot="1" x14ac:dyDescent="0.25">
      <c r="A28" s="39" t="s">
        <v>35</v>
      </c>
      <c r="B28" s="70" t="s">
        <v>1</v>
      </c>
      <c r="C28" s="33" t="s">
        <v>44</v>
      </c>
    </row>
    <row r="29" spans="1:3" ht="65.25" thickTop="1" thickBot="1" x14ac:dyDescent="0.25">
      <c r="A29" s="40" t="s">
        <v>36</v>
      </c>
      <c r="B29" s="42" t="s">
        <v>4</v>
      </c>
      <c r="C29" t="s">
        <v>45</v>
      </c>
    </row>
    <row r="30" spans="1:3" ht="52.5" thickTop="1" thickBot="1" x14ac:dyDescent="0.25">
      <c r="A30" s="40" t="s">
        <v>37</v>
      </c>
      <c r="B30" s="42" t="s">
        <v>5</v>
      </c>
      <c r="C30" t="s">
        <v>46</v>
      </c>
    </row>
    <row r="31" spans="1:3" ht="39.75" thickTop="1" thickBot="1" x14ac:dyDescent="0.25">
      <c r="A31" s="41" t="s">
        <v>71</v>
      </c>
      <c r="B31" s="42" t="s">
        <v>2</v>
      </c>
      <c r="C31" t="s">
        <v>72</v>
      </c>
    </row>
    <row r="32" spans="1:3" x14ac:dyDescent="0.2">
      <c r="B32" s="31"/>
    </row>
    <row r="33" spans="2:2" x14ac:dyDescent="0.2">
      <c r="B33" s="31"/>
    </row>
    <row r="34" spans="2:2" x14ac:dyDescent="0.2">
      <c r="B34" s="31"/>
    </row>
    <row r="35" spans="2:2" x14ac:dyDescent="0.2">
      <c r="B35" s="31"/>
    </row>
  </sheetData>
  <mergeCells count="1">
    <mergeCell ref="A11:A12"/>
  </mergeCells>
  <phoneticPr fontId="6" type="noConversion"/>
  <printOptions horizontalCentered="1" verticalCentered="1"/>
  <pageMargins left="0.39370078740157483" right="0.39370078740157483" top="0.35433070866141736" bottom="0.62992125984251968" header="0.31496062992125984" footer="0.15748031496062992"/>
  <pageSetup paperSize="9" scale="58" orientation="portrait" verticalDpi="300" r:id="rId1"/>
  <headerFooter alignWithMargins="0">
    <oddHeader>&amp;L&amp;G&amp;R
&amp;F</oddHeader>
    <oddFooter>&amp;LRef_Exigences / 1.60 / mars16&amp;CInterne Orange Applications for Business&amp;R&amp;P/&amp;N</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_prop_ref" enableFormatConditionsCalculation="0">
    <tabColor indexed="10"/>
    <pageSetUpPr fitToPage="1"/>
  </sheetPr>
  <dimension ref="B1:E26"/>
  <sheetViews>
    <sheetView showGridLines="0" zoomScaleNormal="100" workbookViewId="0">
      <selection activeCell="D17" sqref="D17"/>
    </sheetView>
  </sheetViews>
  <sheetFormatPr baseColWidth="10" defaultRowHeight="12.75" x14ac:dyDescent="0.2"/>
  <cols>
    <col min="1" max="1" width="4.140625" customWidth="1"/>
    <col min="2" max="2" width="25.42578125" customWidth="1"/>
    <col min="3" max="3" width="12.7109375" bestFit="1" customWidth="1"/>
    <col min="4" max="4" width="57.28515625" customWidth="1"/>
    <col min="5" max="5" width="3.85546875" customWidth="1"/>
  </cols>
  <sheetData>
    <row r="1" spans="2:5" x14ac:dyDescent="0.2">
      <c r="B1" s="62" t="s">
        <v>61</v>
      </c>
    </row>
    <row r="2" spans="2:5" ht="13.5" thickBot="1" x14ac:dyDescent="0.25">
      <c r="B2" s="57" t="s">
        <v>62</v>
      </c>
    </row>
    <row r="3" spans="2:5" x14ac:dyDescent="0.2">
      <c r="B3" s="52" t="s">
        <v>59</v>
      </c>
      <c r="C3" s="53" t="s">
        <v>901</v>
      </c>
      <c r="D3" s="51"/>
      <c r="E3" s="46"/>
    </row>
    <row r="4" spans="2:5" x14ac:dyDescent="0.2">
      <c r="B4" s="54"/>
      <c r="C4" s="55"/>
      <c r="E4" s="46"/>
    </row>
    <row r="5" spans="2:5" x14ac:dyDescent="0.2">
      <c r="B5" s="54" t="s">
        <v>58</v>
      </c>
      <c r="C5" s="56" t="s">
        <v>48</v>
      </c>
      <c r="D5" t="str">
        <f>VLOOKUP(C5,Paramètres!$F$2:$G$4,2)</f>
        <v>PRJ</v>
      </c>
      <c r="E5" s="46"/>
    </row>
    <row r="6" spans="2:5" x14ac:dyDescent="0.2">
      <c r="B6" s="54"/>
      <c r="C6" s="55"/>
      <c r="E6" s="46"/>
    </row>
    <row r="7" spans="2:5" x14ac:dyDescent="0.2">
      <c r="B7" s="54" t="s">
        <v>57</v>
      </c>
      <c r="C7" s="56" t="s">
        <v>51</v>
      </c>
      <c r="E7" s="46"/>
    </row>
    <row r="8" spans="2:5" ht="13.5" thickBot="1" x14ac:dyDescent="0.25">
      <c r="B8" s="54"/>
      <c r="C8" s="55"/>
    </row>
    <row r="9" spans="2:5" ht="13.5" thickBot="1" x14ac:dyDescent="0.25">
      <c r="B9" s="234" t="s">
        <v>126</v>
      </c>
      <c r="C9" s="49" t="str">
        <f>CONCATENATE(C3,"_EXIGENCES_",D5,".xls")</f>
        <v>UBL1499600A_EXIGENCES_PRJ.xls</v>
      </c>
      <c r="D9" s="50"/>
      <c r="E9" s="46"/>
    </row>
    <row r="12" spans="2:5" x14ac:dyDescent="0.2">
      <c r="B12" s="2" t="s">
        <v>60</v>
      </c>
    </row>
    <row r="13" spans="2:5" x14ac:dyDescent="0.2">
      <c r="B13" s="57" t="s">
        <v>63</v>
      </c>
    </row>
    <row r="14" spans="2:5" x14ac:dyDescent="0.2">
      <c r="B14" s="65" t="s">
        <v>127</v>
      </c>
      <c r="C14" s="47" t="s">
        <v>52</v>
      </c>
      <c r="D14" s="48" t="s">
        <v>53</v>
      </c>
    </row>
    <row r="15" spans="2:5" x14ac:dyDescent="0.2">
      <c r="B15" s="231" t="s">
        <v>238</v>
      </c>
      <c r="C15" s="233">
        <v>42979</v>
      </c>
      <c r="D15" s="232" t="s">
        <v>56</v>
      </c>
    </row>
    <row r="16" spans="2:5" ht="25.5" x14ac:dyDescent="0.2">
      <c r="B16" s="239" t="s">
        <v>914</v>
      </c>
      <c r="C16" s="233">
        <v>43039</v>
      </c>
      <c r="D16" s="238" t="s">
        <v>995</v>
      </c>
    </row>
    <row r="17" spans="2:4" x14ac:dyDescent="0.2">
      <c r="B17" s="254" t="s">
        <v>1015</v>
      </c>
      <c r="C17" s="255">
        <v>43171</v>
      </c>
      <c r="D17" s="256" t="s">
        <v>1035</v>
      </c>
    </row>
    <row r="18" spans="2:4" x14ac:dyDescent="0.2">
      <c r="B18" s="112"/>
      <c r="C18" s="9"/>
      <c r="D18" s="63"/>
    </row>
    <row r="19" spans="2:4" x14ac:dyDescent="0.2">
      <c r="B19" s="112"/>
      <c r="C19" s="9"/>
      <c r="D19" s="63"/>
    </row>
    <row r="20" spans="2:4" x14ac:dyDescent="0.2">
      <c r="B20" s="112"/>
      <c r="C20" s="9"/>
      <c r="D20" s="63"/>
    </row>
    <row r="21" spans="2:4" x14ac:dyDescent="0.2">
      <c r="B21" s="112"/>
      <c r="C21" s="9"/>
      <c r="D21" s="63"/>
    </row>
    <row r="22" spans="2:4" x14ac:dyDescent="0.2">
      <c r="B22" s="112"/>
      <c r="C22" s="9"/>
      <c r="D22" s="63"/>
    </row>
    <row r="23" spans="2:4" x14ac:dyDescent="0.2">
      <c r="B23" s="112"/>
      <c r="C23" s="9"/>
      <c r="D23" s="63"/>
    </row>
    <row r="24" spans="2:4" x14ac:dyDescent="0.2">
      <c r="B24" s="112"/>
      <c r="C24" s="9"/>
      <c r="D24" s="63"/>
    </row>
    <row r="25" spans="2:4" x14ac:dyDescent="0.2">
      <c r="B25" s="112"/>
      <c r="C25" s="9"/>
      <c r="D25" s="63"/>
    </row>
    <row r="26" spans="2:4" ht="13.5" thickBot="1" x14ac:dyDescent="0.25">
      <c r="B26" s="113"/>
      <c r="C26" s="10"/>
      <c r="D26" s="64"/>
    </row>
  </sheetData>
  <phoneticPr fontId="6" type="noConversion"/>
  <dataValidations count="2">
    <dataValidation type="list" allowBlank="1" showInputMessage="1" showErrorMessage="1" sqref="C5">
      <formula1>Etape</formula1>
    </dataValidation>
    <dataValidation type="textLength" operator="equal" allowBlank="1" showInputMessage="1" showErrorMessage="1" promptTitle="Ver_Ref" prompt="Saisir une version au format 1.00" sqref="C7">
      <formula1>4</formula1>
    </dataValidation>
  </dataValidations>
  <printOptions horizontalCentered="1" verticalCentered="1"/>
  <pageMargins left="0.78740157480314965" right="0.39370078740157483" top="0.35433070866141736" bottom="0.62992125984251968" header="0.31496062992125984" footer="0.15748031496062992"/>
  <pageSetup paperSize="9" orientation="landscape" r:id="rId1"/>
  <headerFooter alignWithMargins="0">
    <oddHeader>&amp;L&amp;G&amp;R
&amp;F</oddHeader>
    <oddFooter>&amp;LRef_Exigences / 1.60 / mars16&amp;CInterne Orange Applications for Business&amp;R&amp;P/&amp;N</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organisationnelle" enableFormatConditionsCalculation="0">
    <tabColor indexed="11"/>
    <pageSetUpPr fitToPage="1"/>
  </sheetPr>
  <dimension ref="A1:T27"/>
  <sheetViews>
    <sheetView showGridLines="0" zoomScaleNormal="100" workbookViewId="0">
      <selection activeCell="C34" sqref="C34"/>
    </sheetView>
  </sheetViews>
  <sheetFormatPr baseColWidth="10" defaultRowHeight="12.75" x14ac:dyDescent="0.2"/>
  <cols>
    <col min="1" max="1" width="4.85546875" style="143" customWidth="1"/>
    <col min="2" max="2" width="43.85546875" style="135" customWidth="1"/>
    <col min="3" max="3" width="45.7109375" style="135" customWidth="1"/>
    <col min="4" max="6" width="10.7109375" style="135" customWidth="1"/>
    <col min="7" max="7" width="9.85546875" style="135" bestFit="1" customWidth="1"/>
    <col min="8" max="8" width="10.28515625" style="135" hidden="1" customWidth="1"/>
    <col min="9" max="9" width="10.7109375" style="136" customWidth="1"/>
    <col min="10" max="10" width="9.7109375" style="136" hidden="1" customWidth="1"/>
    <col min="11" max="11" width="17.7109375" style="136" hidden="1" customWidth="1"/>
    <col min="12" max="12" width="13.5703125" style="136" hidden="1" customWidth="1"/>
    <col min="13" max="13" width="20.140625" style="135" hidden="1" customWidth="1"/>
    <col min="14" max="14" width="15.7109375" style="135" hidden="1" customWidth="1"/>
    <col min="15" max="15" width="10.7109375" style="136" hidden="1" customWidth="1"/>
    <col min="16" max="16" width="11.140625" style="135" customWidth="1"/>
    <col min="17" max="17" width="60" style="135" customWidth="1"/>
    <col min="18" max="18" width="14.28515625" bestFit="1" customWidth="1"/>
    <col min="20" max="20" width="9.42578125" bestFit="1" customWidth="1"/>
    <col min="21" max="21" width="12" bestFit="1" customWidth="1"/>
    <col min="22" max="22" width="7" customWidth="1"/>
    <col min="23" max="23" width="9" bestFit="1" customWidth="1"/>
  </cols>
  <sheetData>
    <row r="1" spans="1:20" ht="25.5" x14ac:dyDescent="0.2">
      <c r="B1" s="180" t="s">
        <v>10</v>
      </c>
      <c r="C1" s="109" t="s">
        <v>65</v>
      </c>
      <c r="D1" s="109"/>
      <c r="E1" s="109"/>
      <c r="F1" s="109"/>
      <c r="G1" s="109"/>
      <c r="H1" s="109"/>
      <c r="I1" s="109"/>
      <c r="J1" s="109"/>
      <c r="K1" s="109"/>
      <c r="L1" s="109"/>
      <c r="M1" s="109"/>
      <c r="N1" s="109"/>
      <c r="O1" s="109"/>
      <c r="P1" s="109"/>
      <c r="Q1" s="109"/>
      <c r="R1" s="109"/>
      <c r="S1" s="109"/>
      <c r="T1" s="109"/>
    </row>
    <row r="2" spans="1:20" ht="12.75" customHeight="1" x14ac:dyDescent="0.2">
      <c r="B2" s="259" t="s">
        <v>64</v>
      </c>
      <c r="C2" s="259"/>
      <c r="D2" s="259"/>
      <c r="E2" s="259"/>
      <c r="F2" s="259"/>
      <c r="G2" s="259"/>
      <c r="H2" s="146"/>
      <c r="I2" s="146"/>
      <c r="J2" s="146"/>
      <c r="K2" s="146"/>
      <c r="L2" s="146"/>
      <c r="M2" s="146"/>
      <c r="N2" s="146"/>
      <c r="O2" s="146"/>
      <c r="P2" s="146"/>
      <c r="Q2" s="146"/>
      <c r="R2" s="116"/>
    </row>
    <row r="3" spans="1:20" x14ac:dyDescent="0.2">
      <c r="B3" s="258" t="s">
        <v>42</v>
      </c>
      <c r="C3" s="258"/>
      <c r="D3" s="258"/>
      <c r="E3" s="258"/>
      <c r="F3" s="258"/>
      <c r="G3" s="258"/>
      <c r="H3" s="258"/>
      <c r="I3" s="258"/>
      <c r="J3" s="258"/>
      <c r="K3" s="258"/>
      <c r="L3" s="258"/>
      <c r="M3" s="149"/>
      <c r="N3" s="149"/>
      <c r="O3" s="149"/>
      <c r="P3" s="147"/>
      <c r="Q3" s="147"/>
      <c r="R3" s="13"/>
    </row>
    <row r="4" spans="1:20" ht="13.5" thickBot="1" x14ac:dyDescent="0.25">
      <c r="B4" s="134"/>
      <c r="C4" s="134"/>
      <c r="D4" s="134"/>
      <c r="E4" s="134"/>
      <c r="F4" s="134"/>
      <c r="G4" s="134"/>
      <c r="H4" s="134"/>
      <c r="I4" s="134"/>
      <c r="J4" s="134"/>
      <c r="K4" s="134"/>
      <c r="L4" s="134"/>
      <c r="M4" s="134"/>
      <c r="N4" s="134"/>
      <c r="O4" s="134"/>
      <c r="P4" s="134"/>
      <c r="Q4" s="134"/>
    </row>
    <row r="5" spans="1:20" s="87" customFormat="1" ht="11.25" x14ac:dyDescent="0.2">
      <c r="A5" s="144"/>
      <c r="B5" s="88" t="s">
        <v>95</v>
      </c>
      <c r="C5" s="89" t="s">
        <v>96</v>
      </c>
      <c r="D5" s="89" t="s">
        <v>97</v>
      </c>
      <c r="E5" s="89"/>
      <c r="F5" s="89"/>
      <c r="G5" s="89"/>
      <c r="H5" s="89"/>
      <c r="I5" s="89"/>
      <c r="J5" s="90"/>
      <c r="K5" s="90"/>
      <c r="L5" s="90"/>
      <c r="M5" s="89"/>
      <c r="N5" s="89"/>
      <c r="O5" s="95"/>
      <c r="P5" s="95"/>
      <c r="Q5" s="96"/>
    </row>
    <row r="6" spans="1:20" s="87" customFormat="1" ht="12" thickBot="1" x14ac:dyDescent="0.25">
      <c r="A6" s="144"/>
      <c r="B6" s="91">
        <f>COUNTA(B8:B988)</f>
        <v>0</v>
      </c>
      <c r="C6" s="92">
        <f>SUBTOTAL(3,B8:B988)</f>
        <v>0</v>
      </c>
      <c r="D6" s="93">
        <f>IF(C6=0,0,$C$6/$B$6)</f>
        <v>0</v>
      </c>
      <c r="E6" s="93"/>
      <c r="F6" s="93"/>
      <c r="G6" s="92"/>
      <c r="H6" s="92"/>
      <c r="I6" s="92"/>
      <c r="J6" s="94"/>
      <c r="K6" s="94"/>
      <c r="L6" s="94"/>
      <c r="M6" s="92"/>
      <c r="N6" s="92"/>
      <c r="P6" s="98"/>
      <c r="Q6" s="97"/>
    </row>
    <row r="7" spans="1:20" ht="42.75" customHeight="1" thickBot="1" x14ac:dyDescent="0.25">
      <c r="B7" s="11" t="s">
        <v>14</v>
      </c>
      <c r="C7" s="12" t="s">
        <v>13</v>
      </c>
      <c r="D7" s="12" t="s">
        <v>129</v>
      </c>
      <c r="E7" s="12" t="s">
        <v>113</v>
      </c>
      <c r="F7" s="12" t="s">
        <v>102</v>
      </c>
      <c r="G7" s="12" t="s">
        <v>131</v>
      </c>
      <c r="H7" s="12" t="s">
        <v>130</v>
      </c>
      <c r="I7" s="12" t="s">
        <v>111</v>
      </c>
      <c r="J7" s="12" t="s">
        <v>15</v>
      </c>
      <c r="K7" s="12" t="s">
        <v>30</v>
      </c>
      <c r="L7" s="12" t="s">
        <v>123</v>
      </c>
      <c r="M7" s="12" t="s">
        <v>75</v>
      </c>
      <c r="N7" s="12" t="s">
        <v>76</v>
      </c>
      <c r="O7" s="12" t="s">
        <v>133</v>
      </c>
      <c r="P7" s="12" t="s">
        <v>67</v>
      </c>
      <c r="Q7" s="37" t="s">
        <v>132</v>
      </c>
    </row>
    <row r="8" spans="1:20" x14ac:dyDescent="0.2">
      <c r="A8" s="143">
        <v>1</v>
      </c>
      <c r="B8" s="181"/>
      <c r="C8" s="151"/>
      <c r="D8" s="128"/>
      <c r="E8" s="128"/>
      <c r="F8" s="128"/>
      <c r="G8" s="128"/>
      <c r="H8" s="128"/>
      <c r="I8" s="128"/>
      <c r="J8" s="152"/>
      <c r="K8" s="182"/>
      <c r="L8" s="152"/>
      <c r="M8" s="128"/>
      <c r="N8" s="128"/>
      <c r="O8" s="183"/>
      <c r="P8" s="183"/>
      <c r="Q8" s="184"/>
    </row>
    <row r="9" spans="1:20" x14ac:dyDescent="0.2">
      <c r="A9" s="143">
        <v>2</v>
      </c>
      <c r="B9" s="181"/>
      <c r="C9" s="151"/>
      <c r="D9" s="128"/>
      <c r="E9" s="128"/>
      <c r="F9" s="128"/>
      <c r="G9" s="128"/>
      <c r="H9" s="128"/>
      <c r="I9" s="128"/>
      <c r="J9" s="152"/>
      <c r="K9" s="151"/>
      <c r="L9" s="152"/>
      <c r="M9" s="128"/>
      <c r="N9" s="128"/>
      <c r="O9" s="131"/>
      <c r="P9" s="131"/>
      <c r="Q9" s="179"/>
    </row>
    <row r="10" spans="1:20" x14ac:dyDescent="0.2">
      <c r="A10" s="143">
        <v>3</v>
      </c>
      <c r="B10" s="181"/>
      <c r="C10" s="151"/>
      <c r="D10" s="128"/>
      <c r="E10" s="128"/>
      <c r="F10" s="128"/>
      <c r="G10" s="128"/>
      <c r="H10" s="128"/>
      <c r="I10" s="128"/>
      <c r="J10" s="152"/>
      <c r="K10" s="156"/>
      <c r="L10" s="152"/>
      <c r="M10" s="128"/>
      <c r="N10" s="128"/>
      <c r="O10" s="158"/>
      <c r="P10" s="158"/>
      <c r="Q10" s="185"/>
    </row>
    <row r="11" spans="1:20" x14ac:dyDescent="0.2">
      <c r="A11" s="143">
        <v>4</v>
      </c>
      <c r="B11" s="181"/>
      <c r="C11" s="161"/>
      <c r="D11" s="128"/>
      <c r="E11" s="160"/>
      <c r="F11" s="128"/>
      <c r="G11" s="128"/>
      <c r="H11" s="128"/>
      <c r="I11" s="128"/>
      <c r="J11" s="152"/>
      <c r="K11" s="151"/>
      <c r="L11" s="152"/>
      <c r="M11" s="128"/>
      <c r="N11" s="128"/>
      <c r="O11" s="131"/>
      <c r="P11" s="131"/>
      <c r="Q11" s="179"/>
    </row>
    <row r="12" spans="1:20" x14ac:dyDescent="0.2">
      <c r="A12" s="143">
        <f t="shared" ref="A12:A27" si="0">A11+1</f>
        <v>5</v>
      </c>
      <c r="B12" s="181"/>
      <c r="C12" s="161"/>
      <c r="D12" s="128"/>
      <c r="E12" s="160"/>
      <c r="F12" s="128"/>
      <c r="G12" s="128"/>
      <c r="H12" s="128"/>
      <c r="I12" s="128"/>
      <c r="J12" s="152"/>
      <c r="K12" s="151"/>
      <c r="L12" s="152"/>
      <c r="M12" s="128"/>
      <c r="N12" s="128"/>
      <c r="O12" s="131"/>
      <c r="P12" s="131"/>
      <c r="Q12" s="179"/>
    </row>
    <row r="13" spans="1:20" x14ac:dyDescent="0.2">
      <c r="A13" s="143">
        <f t="shared" si="0"/>
        <v>6</v>
      </c>
      <c r="B13" s="181"/>
      <c r="C13" s="161"/>
      <c r="D13" s="128"/>
      <c r="E13" s="160"/>
      <c r="F13" s="128"/>
      <c r="G13" s="128"/>
      <c r="H13" s="128"/>
      <c r="I13" s="128"/>
      <c r="J13" s="152"/>
      <c r="K13" s="151"/>
      <c r="L13" s="152"/>
      <c r="M13" s="128"/>
      <c r="N13" s="128"/>
      <c r="O13" s="131"/>
      <c r="P13" s="131"/>
      <c r="Q13" s="179"/>
    </row>
    <row r="14" spans="1:20" x14ac:dyDescent="0.2">
      <c r="A14" s="143">
        <f t="shared" si="0"/>
        <v>7</v>
      </c>
      <c r="B14" s="181"/>
      <c r="C14" s="161"/>
      <c r="D14" s="128"/>
      <c r="E14" s="160"/>
      <c r="F14" s="128"/>
      <c r="G14" s="128"/>
      <c r="H14" s="128"/>
      <c r="I14" s="128"/>
      <c r="J14" s="152"/>
      <c r="K14" s="151"/>
      <c r="L14" s="152"/>
      <c r="M14" s="128"/>
      <c r="N14" s="128"/>
      <c r="O14" s="131"/>
      <c r="P14" s="131"/>
      <c r="Q14" s="179"/>
    </row>
    <row r="15" spans="1:20" x14ac:dyDescent="0.2">
      <c r="A15" s="143">
        <f t="shared" si="0"/>
        <v>8</v>
      </c>
      <c r="B15" s="181"/>
      <c r="C15" s="161"/>
      <c r="D15" s="128"/>
      <c r="E15" s="160"/>
      <c r="F15" s="128"/>
      <c r="G15" s="128"/>
      <c r="H15" s="128"/>
      <c r="I15" s="129"/>
      <c r="J15" s="152"/>
      <c r="K15" s="151"/>
      <c r="L15" s="152"/>
      <c r="M15" s="128"/>
      <c r="N15" s="128"/>
      <c r="O15" s="131"/>
      <c r="P15" s="131"/>
      <c r="Q15" s="179"/>
    </row>
    <row r="16" spans="1:20" x14ac:dyDescent="0.2">
      <c r="A16" s="143">
        <f t="shared" si="0"/>
        <v>9</v>
      </c>
      <c r="B16" s="181"/>
      <c r="C16" s="161"/>
      <c r="D16" s="128"/>
      <c r="E16" s="160"/>
      <c r="F16" s="128"/>
      <c r="G16" s="128"/>
      <c r="H16" s="128"/>
      <c r="I16" s="129"/>
      <c r="J16" s="152"/>
      <c r="K16" s="151"/>
      <c r="L16" s="152"/>
      <c r="M16" s="128"/>
      <c r="N16" s="128"/>
      <c r="O16" s="131"/>
      <c r="P16" s="131"/>
      <c r="Q16" s="179"/>
    </row>
    <row r="17" spans="1:17" x14ac:dyDescent="0.2">
      <c r="A17" s="143">
        <f t="shared" si="0"/>
        <v>10</v>
      </c>
      <c r="B17" s="181"/>
      <c r="C17" s="161"/>
      <c r="D17" s="128"/>
      <c r="E17" s="160"/>
      <c r="F17" s="128"/>
      <c r="G17" s="128"/>
      <c r="H17" s="128"/>
      <c r="I17" s="129"/>
      <c r="J17" s="152"/>
      <c r="K17" s="151"/>
      <c r="L17" s="152"/>
      <c r="M17" s="128"/>
      <c r="N17" s="128"/>
      <c r="O17" s="131"/>
      <c r="P17" s="131"/>
      <c r="Q17" s="179"/>
    </row>
    <row r="18" spans="1:17" x14ac:dyDescent="0.2">
      <c r="A18" s="143">
        <f t="shared" si="0"/>
        <v>11</v>
      </c>
      <c r="B18" s="181"/>
      <c r="C18" s="161"/>
      <c r="D18" s="128"/>
      <c r="E18" s="160"/>
      <c r="F18" s="128"/>
      <c r="G18" s="128"/>
      <c r="H18" s="128"/>
      <c r="I18" s="129"/>
      <c r="J18" s="152"/>
      <c r="K18" s="151"/>
      <c r="L18" s="152"/>
      <c r="M18" s="128"/>
      <c r="N18" s="128"/>
      <c r="O18" s="131"/>
      <c r="P18" s="131"/>
      <c r="Q18" s="179"/>
    </row>
    <row r="19" spans="1:17" x14ac:dyDescent="0.2">
      <c r="A19" s="143">
        <f t="shared" si="0"/>
        <v>12</v>
      </c>
      <c r="B19" s="181"/>
      <c r="C19" s="161"/>
      <c r="D19" s="128"/>
      <c r="E19" s="160"/>
      <c r="F19" s="128"/>
      <c r="G19" s="128"/>
      <c r="H19" s="128"/>
      <c r="I19" s="129"/>
      <c r="J19" s="152"/>
      <c r="K19" s="151"/>
      <c r="L19" s="152"/>
      <c r="M19" s="128"/>
      <c r="N19" s="128"/>
      <c r="O19" s="131"/>
      <c r="P19" s="131"/>
      <c r="Q19" s="179"/>
    </row>
    <row r="20" spans="1:17" x14ac:dyDescent="0.2">
      <c r="A20" s="143">
        <f t="shared" si="0"/>
        <v>13</v>
      </c>
      <c r="B20" s="181"/>
      <c r="C20" s="161"/>
      <c r="D20" s="128"/>
      <c r="E20" s="160"/>
      <c r="F20" s="128"/>
      <c r="G20" s="128"/>
      <c r="H20" s="128"/>
      <c r="I20" s="129"/>
      <c r="J20" s="152"/>
      <c r="K20" s="151"/>
      <c r="L20" s="152"/>
      <c r="M20" s="128"/>
      <c r="N20" s="128"/>
      <c r="O20" s="131"/>
      <c r="P20" s="131"/>
      <c r="Q20" s="179"/>
    </row>
    <row r="21" spans="1:17" x14ac:dyDescent="0.2">
      <c r="A21" s="143">
        <f t="shared" si="0"/>
        <v>14</v>
      </c>
      <c r="B21" s="181"/>
      <c r="C21" s="161"/>
      <c r="D21" s="128"/>
      <c r="E21" s="160"/>
      <c r="F21" s="128"/>
      <c r="G21" s="128"/>
      <c r="H21" s="128"/>
      <c r="I21" s="129"/>
      <c r="J21" s="152"/>
      <c r="K21" s="151"/>
      <c r="L21" s="152"/>
      <c r="M21" s="128"/>
      <c r="N21" s="128"/>
      <c r="O21" s="131"/>
      <c r="P21" s="131"/>
      <c r="Q21" s="179"/>
    </row>
    <row r="22" spans="1:17" x14ac:dyDescent="0.2">
      <c r="A22" s="143">
        <f t="shared" si="0"/>
        <v>15</v>
      </c>
      <c r="B22" s="181"/>
      <c r="C22" s="161"/>
      <c r="D22" s="128"/>
      <c r="E22" s="160"/>
      <c r="F22" s="128"/>
      <c r="G22" s="128"/>
      <c r="H22" s="128"/>
      <c r="I22" s="129"/>
      <c r="J22" s="152"/>
      <c r="K22" s="151"/>
      <c r="L22" s="152"/>
      <c r="M22" s="128"/>
      <c r="N22" s="128"/>
      <c r="O22" s="131"/>
      <c r="P22" s="131"/>
      <c r="Q22" s="179"/>
    </row>
    <row r="23" spans="1:17" x14ac:dyDescent="0.2">
      <c r="A23" s="143">
        <f t="shared" si="0"/>
        <v>16</v>
      </c>
      <c r="B23" s="181"/>
      <c r="C23" s="161"/>
      <c r="D23" s="128"/>
      <c r="E23" s="160"/>
      <c r="F23" s="128"/>
      <c r="G23" s="128"/>
      <c r="H23" s="128"/>
      <c r="I23" s="129"/>
      <c r="J23" s="152"/>
      <c r="K23" s="151"/>
      <c r="L23" s="152"/>
      <c r="M23" s="128"/>
      <c r="N23" s="128"/>
      <c r="O23" s="131"/>
      <c r="P23" s="131"/>
      <c r="Q23" s="179"/>
    </row>
    <row r="24" spans="1:17" x14ac:dyDescent="0.2">
      <c r="A24" s="143">
        <f t="shared" si="0"/>
        <v>17</v>
      </c>
      <c r="B24" s="181"/>
      <c r="C24" s="161"/>
      <c r="D24" s="128"/>
      <c r="E24" s="160"/>
      <c r="F24" s="128"/>
      <c r="G24" s="128"/>
      <c r="H24" s="128"/>
      <c r="I24" s="129"/>
      <c r="J24" s="152"/>
      <c r="K24" s="151"/>
      <c r="L24" s="152"/>
      <c r="M24" s="128"/>
      <c r="N24" s="128"/>
      <c r="O24" s="131"/>
      <c r="P24" s="131"/>
      <c r="Q24" s="179"/>
    </row>
    <row r="25" spans="1:17" x14ac:dyDescent="0.2">
      <c r="A25" s="143">
        <f t="shared" si="0"/>
        <v>18</v>
      </c>
      <c r="B25" s="181"/>
      <c r="C25" s="161"/>
      <c r="D25" s="128"/>
      <c r="E25" s="160"/>
      <c r="F25" s="128"/>
      <c r="G25" s="128"/>
      <c r="H25" s="128"/>
      <c r="I25" s="129"/>
      <c r="J25" s="152"/>
      <c r="K25" s="151"/>
      <c r="L25" s="152"/>
      <c r="M25" s="128"/>
      <c r="N25" s="128"/>
      <c r="O25" s="131"/>
      <c r="P25" s="131"/>
      <c r="Q25" s="179"/>
    </row>
    <row r="26" spans="1:17" x14ac:dyDescent="0.2">
      <c r="A26" s="143">
        <f t="shared" si="0"/>
        <v>19</v>
      </c>
      <c r="B26" s="181"/>
      <c r="C26" s="161"/>
      <c r="D26" s="128"/>
      <c r="E26" s="160"/>
      <c r="F26" s="128"/>
      <c r="G26" s="128"/>
      <c r="H26" s="128"/>
      <c r="I26" s="129"/>
      <c r="J26" s="152"/>
      <c r="K26" s="151"/>
      <c r="L26" s="152"/>
      <c r="M26" s="128"/>
      <c r="N26" s="128"/>
      <c r="O26" s="131"/>
      <c r="P26" s="131"/>
      <c r="Q26" s="179"/>
    </row>
    <row r="27" spans="1:17" x14ac:dyDescent="0.2">
      <c r="A27" s="143">
        <f t="shared" si="0"/>
        <v>20</v>
      </c>
      <c r="B27" s="181"/>
      <c r="C27" s="161"/>
      <c r="D27" s="128"/>
      <c r="E27" s="160"/>
      <c r="F27" s="128"/>
      <c r="G27" s="128"/>
      <c r="H27" s="128"/>
      <c r="I27" s="129"/>
      <c r="J27" s="152"/>
      <c r="K27" s="151"/>
      <c r="L27" s="152"/>
      <c r="M27" s="128"/>
      <c r="N27" s="128"/>
      <c r="O27" s="131"/>
      <c r="P27" s="131"/>
      <c r="Q27" s="179"/>
    </row>
  </sheetData>
  <mergeCells count="2">
    <mergeCell ref="B3:L3"/>
    <mergeCell ref="B2:G2"/>
  </mergeCells>
  <phoneticPr fontId="6" type="noConversion"/>
  <conditionalFormatting sqref="O8:P27">
    <cfRule type="cellIs" dxfId="2046" priority="1" stopIfTrue="1" operator="equal">
      <formula>#REF!</formula>
    </cfRule>
  </conditionalFormatting>
  <dataValidations disablePrompts="1" count="5">
    <dataValidation type="list" allowBlank="1" showInputMessage="1" showErrorMessage="1" sqref="M8:M27">
      <formula1>Conformité</formula1>
    </dataValidation>
    <dataValidation type="list" allowBlank="1" showInputMessage="1" showErrorMessage="1" sqref="I8:I27">
      <formula1>Etat</formula1>
    </dataValidation>
    <dataValidation type="list" allowBlank="1" showInputMessage="1" showErrorMessage="1" sqref="D8:D27">
      <formula1>Priorité</formula1>
    </dataValidation>
    <dataValidation type="list" allowBlank="1" showInputMessage="1" showErrorMessage="1" sqref="G8:G27">
      <formula1>"1,2,3"</formula1>
    </dataValidation>
    <dataValidation type="list" allowBlank="1" showInputMessage="1" showErrorMessage="1" sqref="H8:H27">
      <formula1>"complexe,normale,simple"</formula1>
    </dataValidation>
  </dataValidations>
  <printOptions horizontalCentered="1" verticalCentered="1"/>
  <pageMargins left="0" right="0" top="0.35433070866141736" bottom="0.39370078740157483" header="0.31496062992125984" footer="0.15748031496062992"/>
  <pageSetup paperSize="9" scale="57" fitToHeight="2" orientation="landscape"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fonctionnelle" enableFormatConditionsCalculation="0">
    <tabColor indexed="13"/>
    <pageSetUpPr fitToPage="1"/>
  </sheetPr>
  <dimension ref="A1:T62"/>
  <sheetViews>
    <sheetView showGridLines="0" topLeftCell="A19" zoomScaleNormal="100" workbookViewId="0">
      <selection activeCell="B30" sqref="B30"/>
    </sheetView>
  </sheetViews>
  <sheetFormatPr baseColWidth="10" defaultRowHeight="12.75" x14ac:dyDescent="0.2"/>
  <cols>
    <col min="1" max="1" width="4.85546875" style="143" customWidth="1"/>
    <col min="2" max="2" width="35.5703125" style="135" customWidth="1"/>
    <col min="3" max="3" width="97.7109375" style="135" customWidth="1"/>
    <col min="4" max="4" width="9.85546875" style="135" bestFit="1" customWidth="1"/>
    <col min="5" max="5" width="10.42578125" style="135" bestFit="1" customWidth="1"/>
    <col min="6" max="6" width="12" style="135" customWidth="1"/>
    <col min="7" max="7" width="9" style="135" customWidth="1"/>
    <col min="8" max="8" width="10.28515625" style="135" hidden="1" customWidth="1"/>
    <col min="9" max="9" width="13.42578125" style="136" customWidth="1"/>
    <col min="10" max="10" width="11.85546875" style="136" hidden="1" customWidth="1"/>
    <col min="11" max="11" width="11.28515625" style="136" hidden="1" customWidth="1"/>
    <col min="12" max="12" width="15.28515625" style="136" hidden="1" customWidth="1"/>
    <col min="13" max="13" width="17.28515625" style="136" hidden="1" customWidth="1"/>
    <col min="14" max="14" width="17.7109375" style="136" hidden="1" customWidth="1"/>
    <col min="15" max="15" width="10.7109375" style="136" hidden="1" customWidth="1"/>
    <col min="16" max="16" width="16.5703125" style="135" customWidth="1"/>
    <col min="17" max="17" width="56.42578125" style="135" customWidth="1"/>
    <col min="18" max="18" width="14.28515625" bestFit="1" customWidth="1"/>
    <col min="20" max="20" width="9.42578125" bestFit="1" customWidth="1"/>
    <col min="21" max="21" width="12" bestFit="1" customWidth="1"/>
    <col min="22" max="22" width="7" customWidth="1"/>
    <col min="23" max="23" width="9" bestFit="1" customWidth="1"/>
  </cols>
  <sheetData>
    <row r="1" spans="1:20" x14ac:dyDescent="0.2">
      <c r="B1" s="148" t="s">
        <v>40</v>
      </c>
      <c r="C1" s="109" t="s">
        <v>65</v>
      </c>
      <c r="D1" s="109"/>
      <c r="E1" s="109"/>
      <c r="F1" s="109"/>
      <c r="G1" s="109"/>
      <c r="H1" s="109"/>
      <c r="I1" s="109"/>
      <c r="J1" s="109"/>
      <c r="K1" s="109"/>
      <c r="L1" s="109"/>
      <c r="M1" s="109"/>
      <c r="N1" s="109"/>
      <c r="O1" s="109"/>
      <c r="P1" s="109"/>
      <c r="Q1" s="109"/>
      <c r="R1" s="109"/>
      <c r="S1" s="109"/>
      <c r="T1" s="109"/>
    </row>
    <row r="2" spans="1:20" ht="12.75" customHeight="1" x14ac:dyDescent="0.2">
      <c r="B2" s="260" t="s">
        <v>103</v>
      </c>
      <c r="C2" s="260"/>
      <c r="D2" s="260"/>
      <c r="E2" s="260"/>
      <c r="F2" s="260"/>
      <c r="G2" s="260"/>
      <c r="H2" s="260"/>
      <c r="I2" s="260"/>
      <c r="J2" s="260"/>
      <c r="K2" s="260"/>
      <c r="L2" s="260"/>
      <c r="M2" s="260"/>
      <c r="N2" s="260"/>
      <c r="O2" s="260"/>
      <c r="P2" s="260"/>
      <c r="Q2" s="260"/>
      <c r="R2" s="260"/>
    </row>
    <row r="3" spans="1:20" x14ac:dyDescent="0.2">
      <c r="B3" s="258" t="s">
        <v>42</v>
      </c>
      <c r="C3" s="258"/>
      <c r="D3" s="258"/>
      <c r="E3" s="258"/>
      <c r="F3" s="258"/>
      <c r="G3" s="258"/>
      <c r="H3" s="258"/>
      <c r="I3" s="258"/>
      <c r="J3" s="258"/>
      <c r="K3" s="258"/>
      <c r="L3" s="258"/>
      <c r="M3" s="149"/>
      <c r="N3" s="149"/>
      <c r="O3" s="149"/>
      <c r="P3" s="147"/>
      <c r="Q3" s="147"/>
      <c r="R3" s="13"/>
    </row>
    <row r="4" spans="1:20" ht="13.5" thickBot="1" x14ac:dyDescent="0.25">
      <c r="B4" s="134"/>
      <c r="C4" s="134"/>
      <c r="D4" s="134"/>
      <c r="E4" s="134"/>
      <c r="F4" s="134"/>
      <c r="G4" s="134"/>
      <c r="H4" s="134"/>
      <c r="I4" s="134"/>
      <c r="J4" s="134"/>
      <c r="K4" s="134"/>
      <c r="L4" s="134"/>
      <c r="M4" s="134"/>
      <c r="N4" s="134"/>
      <c r="O4" s="134"/>
      <c r="P4" s="134"/>
      <c r="Q4" s="134"/>
    </row>
    <row r="5" spans="1:20" s="87" customFormat="1" ht="12" thickBot="1" x14ac:dyDescent="0.25">
      <c r="A5" s="144"/>
      <c r="B5" s="88" t="s">
        <v>95</v>
      </c>
      <c r="C5" s="89" t="s">
        <v>96</v>
      </c>
      <c r="D5" s="89" t="s">
        <v>97</v>
      </c>
      <c r="E5" s="89"/>
      <c r="F5" s="89"/>
      <c r="G5" s="89"/>
      <c r="H5" s="89"/>
      <c r="I5" s="89"/>
      <c r="J5" s="90"/>
      <c r="K5" s="90"/>
      <c r="L5" s="90"/>
      <c r="M5" s="90"/>
      <c r="N5" s="90"/>
      <c r="O5" s="95"/>
      <c r="P5" s="95"/>
      <c r="Q5" s="96"/>
    </row>
    <row r="6" spans="1:20" s="87" customFormat="1" ht="12" thickBot="1" x14ac:dyDescent="0.25">
      <c r="A6" s="144"/>
      <c r="B6" s="137">
        <f>COUNTA(B8:B987)</f>
        <v>55</v>
      </c>
      <c r="C6" s="138">
        <f>SUBTOTAL(3,B8:B987)</f>
        <v>55</v>
      </c>
      <c r="D6" s="139">
        <f>IF(C6=0,0,$C$6/$B$6)</f>
        <v>1</v>
      </c>
      <c r="E6" s="139"/>
      <c r="F6" s="139"/>
      <c r="G6" s="138"/>
      <c r="H6" s="138"/>
      <c r="I6" s="138"/>
      <c r="J6" s="140"/>
      <c r="K6" s="140"/>
      <c r="L6" s="140"/>
      <c r="M6" s="90"/>
      <c r="N6" s="90"/>
      <c r="O6" s="95"/>
      <c r="P6" s="141"/>
      <c r="Q6" s="142"/>
    </row>
    <row r="7" spans="1:20" ht="42.75" customHeight="1" thickBot="1" x14ac:dyDescent="0.25">
      <c r="B7" s="117" t="s">
        <v>14</v>
      </c>
      <c r="C7" s="12" t="s">
        <v>13</v>
      </c>
      <c r="D7" s="12" t="s">
        <v>129</v>
      </c>
      <c r="E7" s="12" t="s">
        <v>113</v>
      </c>
      <c r="F7" s="12" t="s">
        <v>102</v>
      </c>
      <c r="G7" s="12" t="s">
        <v>131</v>
      </c>
      <c r="H7" s="12" t="s">
        <v>130</v>
      </c>
      <c r="I7" s="12" t="s">
        <v>111</v>
      </c>
      <c r="J7" s="12" t="s">
        <v>15</v>
      </c>
      <c r="K7" s="12" t="s">
        <v>30</v>
      </c>
      <c r="L7" s="12" t="s">
        <v>123</v>
      </c>
      <c r="M7" s="12" t="s">
        <v>75</v>
      </c>
      <c r="N7" s="12" t="s">
        <v>76</v>
      </c>
      <c r="O7" s="12" t="s">
        <v>133</v>
      </c>
      <c r="P7" s="12" t="s">
        <v>67</v>
      </c>
      <c r="Q7" s="37" t="s">
        <v>132</v>
      </c>
    </row>
    <row r="8" spans="1:20" ht="362.25" customHeight="1" x14ac:dyDescent="0.2">
      <c r="A8" s="143">
        <v>1</v>
      </c>
      <c r="B8" s="172" t="s">
        <v>296</v>
      </c>
      <c r="C8" s="151" t="s">
        <v>1075</v>
      </c>
      <c r="D8" s="128" t="s">
        <v>16</v>
      </c>
      <c r="E8" s="128"/>
      <c r="F8" s="128" t="s">
        <v>1015</v>
      </c>
      <c r="G8" s="128">
        <v>1</v>
      </c>
      <c r="H8" s="128"/>
      <c r="I8" s="129" t="s">
        <v>900</v>
      </c>
      <c r="J8" s="152"/>
      <c r="K8" s="160"/>
      <c r="L8" s="173"/>
      <c r="M8" s="174"/>
      <c r="N8" s="173"/>
      <c r="O8" s="175"/>
      <c r="P8" s="130" t="s">
        <v>1077</v>
      </c>
      <c r="Q8" s="176" t="s">
        <v>1076</v>
      </c>
    </row>
    <row r="9" spans="1:20" ht="25.5" x14ac:dyDescent="0.2">
      <c r="A9" s="143">
        <f t="shared" ref="A9:A62" si="0">A8+1</f>
        <v>2</v>
      </c>
      <c r="B9" s="150" t="s">
        <v>284</v>
      </c>
      <c r="C9" s="151" t="s">
        <v>776</v>
      </c>
      <c r="D9" s="128" t="s">
        <v>16</v>
      </c>
      <c r="E9" s="128"/>
      <c r="F9" s="128" t="s">
        <v>238</v>
      </c>
      <c r="G9" s="128">
        <v>1</v>
      </c>
      <c r="H9" s="128"/>
      <c r="I9" s="129" t="s">
        <v>19</v>
      </c>
      <c r="J9" s="152"/>
      <c r="K9" s="160"/>
      <c r="L9" s="161"/>
      <c r="M9" s="162"/>
      <c r="N9" s="161"/>
      <c r="O9" s="163"/>
      <c r="P9" s="130" t="s">
        <v>355</v>
      </c>
      <c r="Q9" s="164"/>
    </row>
    <row r="10" spans="1:20" ht="25.5" x14ac:dyDescent="0.2">
      <c r="A10" s="143">
        <f t="shared" si="0"/>
        <v>3</v>
      </c>
      <c r="B10" s="150" t="s">
        <v>285</v>
      </c>
      <c r="C10" s="151" t="s">
        <v>928</v>
      </c>
      <c r="D10" s="128" t="s">
        <v>16</v>
      </c>
      <c r="E10" s="128"/>
      <c r="F10" s="128" t="s">
        <v>914</v>
      </c>
      <c r="G10" s="128">
        <v>1</v>
      </c>
      <c r="H10" s="128"/>
      <c r="I10" s="129" t="s">
        <v>900</v>
      </c>
      <c r="J10" s="152"/>
      <c r="K10" s="160"/>
      <c r="L10" s="161"/>
      <c r="M10" s="162"/>
      <c r="N10" s="161"/>
      <c r="O10" s="163"/>
      <c r="P10" s="130" t="s">
        <v>355</v>
      </c>
      <c r="Q10" s="164" t="s">
        <v>929</v>
      </c>
    </row>
    <row r="11" spans="1:20" ht="25.5" x14ac:dyDescent="0.2">
      <c r="A11" s="143">
        <f t="shared" si="0"/>
        <v>4</v>
      </c>
      <c r="B11" s="150" t="s">
        <v>286</v>
      </c>
      <c r="C11" s="177" t="s">
        <v>163</v>
      </c>
      <c r="D11" s="128" t="s">
        <v>16</v>
      </c>
      <c r="E11" s="128"/>
      <c r="F11" s="128" t="s">
        <v>238</v>
      </c>
      <c r="G11" s="128">
        <v>1</v>
      </c>
      <c r="H11" s="128"/>
      <c r="I11" s="129" t="s">
        <v>19</v>
      </c>
      <c r="J11" s="152"/>
      <c r="K11" s="160"/>
      <c r="L11" s="161"/>
      <c r="M11" s="162"/>
      <c r="N11" s="161"/>
      <c r="O11" s="163"/>
      <c r="P11" s="130" t="s">
        <v>355</v>
      </c>
      <c r="Q11" s="164"/>
    </row>
    <row r="12" spans="1:20" ht="25.5" x14ac:dyDescent="0.2">
      <c r="A12" s="143">
        <f t="shared" si="0"/>
        <v>5</v>
      </c>
      <c r="B12" s="150" t="s">
        <v>287</v>
      </c>
      <c r="C12" s="151" t="s">
        <v>953</v>
      </c>
      <c r="D12" s="128" t="s">
        <v>16</v>
      </c>
      <c r="E12" s="128"/>
      <c r="F12" s="128" t="s">
        <v>914</v>
      </c>
      <c r="G12" s="128">
        <v>1</v>
      </c>
      <c r="H12" s="128"/>
      <c r="I12" s="129" t="s">
        <v>900</v>
      </c>
      <c r="J12" s="152"/>
      <c r="K12" s="160"/>
      <c r="L12" s="161"/>
      <c r="M12" s="162"/>
      <c r="N12" s="161"/>
      <c r="O12" s="163"/>
      <c r="P12" s="130" t="s">
        <v>355</v>
      </c>
      <c r="Q12" s="164" t="s">
        <v>956</v>
      </c>
    </row>
    <row r="13" spans="1:20" ht="38.25" x14ac:dyDescent="0.2">
      <c r="A13" s="143">
        <f t="shared" si="0"/>
        <v>6</v>
      </c>
      <c r="B13" s="150" t="s">
        <v>288</v>
      </c>
      <c r="C13" s="151" t="s">
        <v>937</v>
      </c>
      <c r="D13" s="128" t="s">
        <v>16</v>
      </c>
      <c r="E13" s="128"/>
      <c r="F13" s="128" t="s">
        <v>238</v>
      </c>
      <c r="G13" s="128">
        <v>1</v>
      </c>
      <c r="H13" s="128"/>
      <c r="I13" s="129" t="s">
        <v>19</v>
      </c>
      <c r="J13" s="152"/>
      <c r="K13" s="160"/>
      <c r="L13" s="178"/>
      <c r="M13" s="162"/>
      <c r="N13" s="161"/>
      <c r="O13" s="163"/>
      <c r="P13" s="130" t="s">
        <v>355</v>
      </c>
      <c r="Q13" s="164"/>
    </row>
    <row r="14" spans="1:20" ht="25.5" x14ac:dyDescent="0.2">
      <c r="A14" s="143">
        <f t="shared" si="0"/>
        <v>7</v>
      </c>
      <c r="B14" s="150" t="s">
        <v>289</v>
      </c>
      <c r="C14" s="151" t="s">
        <v>954</v>
      </c>
      <c r="D14" s="128" t="s">
        <v>16</v>
      </c>
      <c r="E14" s="128"/>
      <c r="F14" s="128" t="s">
        <v>914</v>
      </c>
      <c r="G14" s="128">
        <v>1</v>
      </c>
      <c r="H14" s="128"/>
      <c r="I14" s="129" t="s">
        <v>900</v>
      </c>
      <c r="J14" s="152"/>
      <c r="K14" s="160"/>
      <c r="L14" s="161"/>
      <c r="M14" s="162"/>
      <c r="N14" s="161"/>
      <c r="O14" s="163"/>
      <c r="P14" s="130" t="s">
        <v>355</v>
      </c>
      <c r="Q14" s="164" t="s">
        <v>930</v>
      </c>
    </row>
    <row r="15" spans="1:20" ht="25.5" x14ac:dyDescent="0.2">
      <c r="A15" s="143">
        <f t="shared" si="0"/>
        <v>8</v>
      </c>
      <c r="B15" s="150" t="s">
        <v>290</v>
      </c>
      <c r="C15" s="151" t="s">
        <v>955</v>
      </c>
      <c r="D15" s="128" t="s">
        <v>16</v>
      </c>
      <c r="E15" s="128"/>
      <c r="F15" s="128" t="s">
        <v>914</v>
      </c>
      <c r="G15" s="128">
        <v>1</v>
      </c>
      <c r="H15" s="128"/>
      <c r="I15" s="129" t="s">
        <v>900</v>
      </c>
      <c r="J15" s="152"/>
      <c r="K15" s="160"/>
      <c r="L15" s="161"/>
      <c r="M15" s="162"/>
      <c r="N15" s="161"/>
      <c r="O15" s="163"/>
      <c r="P15" s="130" t="s">
        <v>355</v>
      </c>
      <c r="Q15" s="164" t="s">
        <v>930</v>
      </c>
    </row>
    <row r="16" spans="1:20" ht="25.5" x14ac:dyDescent="0.2">
      <c r="A16" s="143">
        <f t="shared" si="0"/>
        <v>9</v>
      </c>
      <c r="B16" s="150" t="s">
        <v>291</v>
      </c>
      <c r="C16" s="151" t="s">
        <v>758</v>
      </c>
      <c r="D16" s="128" t="s">
        <v>16</v>
      </c>
      <c r="E16" s="128"/>
      <c r="F16" s="128" t="s">
        <v>238</v>
      </c>
      <c r="G16" s="128">
        <v>1</v>
      </c>
      <c r="H16" s="128"/>
      <c r="I16" s="129" t="s">
        <v>19</v>
      </c>
      <c r="J16" s="152"/>
      <c r="K16" s="160"/>
      <c r="L16" s="161"/>
      <c r="M16" s="162"/>
      <c r="N16" s="161"/>
      <c r="O16" s="163"/>
      <c r="P16" s="130" t="s">
        <v>355</v>
      </c>
      <c r="Q16" s="164"/>
    </row>
    <row r="17" spans="1:17" ht="25.5" x14ac:dyDescent="0.2">
      <c r="A17" s="143">
        <f t="shared" si="0"/>
        <v>10</v>
      </c>
      <c r="B17" s="150" t="s">
        <v>292</v>
      </c>
      <c r="C17" s="151" t="s">
        <v>777</v>
      </c>
      <c r="D17" s="128" t="s">
        <v>16</v>
      </c>
      <c r="E17" s="128"/>
      <c r="F17" s="128" t="s">
        <v>238</v>
      </c>
      <c r="G17" s="128">
        <v>1</v>
      </c>
      <c r="H17" s="128"/>
      <c r="I17" s="129" t="s">
        <v>19</v>
      </c>
      <c r="J17" s="152"/>
      <c r="K17" s="160"/>
      <c r="L17" s="161"/>
      <c r="M17" s="162"/>
      <c r="N17" s="161"/>
      <c r="O17" s="163"/>
      <c r="P17" s="130" t="s">
        <v>355</v>
      </c>
      <c r="Q17" s="164"/>
    </row>
    <row r="18" spans="1:17" ht="25.5" x14ac:dyDescent="0.2">
      <c r="A18" s="143">
        <f t="shared" si="0"/>
        <v>11</v>
      </c>
      <c r="B18" s="150" t="s">
        <v>211</v>
      </c>
      <c r="C18" s="151" t="s">
        <v>957</v>
      </c>
      <c r="D18" s="128" t="s">
        <v>16</v>
      </c>
      <c r="E18" s="128"/>
      <c r="F18" s="128" t="s">
        <v>914</v>
      </c>
      <c r="G18" s="128">
        <v>1</v>
      </c>
      <c r="H18" s="128"/>
      <c r="I18" s="129" t="s">
        <v>900</v>
      </c>
      <c r="J18" s="152"/>
      <c r="K18" s="160"/>
      <c r="L18" s="161"/>
      <c r="M18" s="162"/>
      <c r="N18" s="161"/>
      <c r="O18" s="163"/>
      <c r="P18" s="130" t="s">
        <v>355</v>
      </c>
      <c r="Q18" s="164" t="s">
        <v>958</v>
      </c>
    </row>
    <row r="19" spans="1:17" ht="38.25" x14ac:dyDescent="0.2">
      <c r="A19" s="143">
        <f t="shared" si="0"/>
        <v>12</v>
      </c>
      <c r="B19" s="150" t="s">
        <v>212</v>
      </c>
      <c r="C19" s="151" t="s">
        <v>778</v>
      </c>
      <c r="D19" s="128" t="s">
        <v>16</v>
      </c>
      <c r="E19" s="128"/>
      <c r="F19" s="128" t="s">
        <v>238</v>
      </c>
      <c r="G19" s="128">
        <v>1</v>
      </c>
      <c r="H19" s="128"/>
      <c r="I19" s="129" t="s">
        <v>19</v>
      </c>
      <c r="J19" s="152"/>
      <c r="K19" s="160"/>
      <c r="L19" s="161"/>
      <c r="M19" s="162"/>
      <c r="N19" s="161"/>
      <c r="O19" s="163"/>
      <c r="P19" s="130" t="s">
        <v>355</v>
      </c>
      <c r="Q19" s="164"/>
    </row>
    <row r="20" spans="1:17" ht="38.25" x14ac:dyDescent="0.2">
      <c r="A20" s="143">
        <f t="shared" si="0"/>
        <v>13</v>
      </c>
      <c r="B20" s="150" t="s">
        <v>213</v>
      </c>
      <c r="C20" s="151" t="s">
        <v>779</v>
      </c>
      <c r="D20" s="128" t="s">
        <v>16</v>
      </c>
      <c r="E20" s="128"/>
      <c r="F20" s="128" t="s">
        <v>238</v>
      </c>
      <c r="G20" s="128">
        <v>1</v>
      </c>
      <c r="H20" s="128"/>
      <c r="I20" s="129" t="s">
        <v>19</v>
      </c>
      <c r="J20" s="152"/>
      <c r="K20" s="160"/>
      <c r="L20" s="161"/>
      <c r="M20" s="162"/>
      <c r="N20" s="161"/>
      <c r="O20" s="163"/>
      <c r="P20" s="130" t="s">
        <v>355</v>
      </c>
      <c r="Q20" s="164"/>
    </row>
    <row r="21" spans="1:17" ht="25.5" x14ac:dyDescent="0.2">
      <c r="A21" s="143">
        <f t="shared" si="0"/>
        <v>14</v>
      </c>
      <c r="B21" s="150" t="s">
        <v>214</v>
      </c>
      <c r="C21" s="151" t="s">
        <v>959</v>
      </c>
      <c r="D21" s="128" t="s">
        <v>16</v>
      </c>
      <c r="E21" s="128"/>
      <c r="F21" s="128" t="s">
        <v>914</v>
      </c>
      <c r="G21" s="128">
        <v>1</v>
      </c>
      <c r="H21" s="128"/>
      <c r="I21" s="129" t="s">
        <v>900</v>
      </c>
      <c r="J21" s="152"/>
      <c r="K21" s="160"/>
      <c r="L21" s="161"/>
      <c r="M21" s="162"/>
      <c r="N21" s="161"/>
      <c r="O21" s="163"/>
      <c r="P21" s="130" t="s">
        <v>355</v>
      </c>
      <c r="Q21" s="164" t="s">
        <v>960</v>
      </c>
    </row>
    <row r="22" spans="1:17" ht="25.5" x14ac:dyDescent="0.2">
      <c r="A22" s="143">
        <f t="shared" si="0"/>
        <v>15</v>
      </c>
      <c r="B22" s="150" t="s">
        <v>215</v>
      </c>
      <c r="C22" s="177" t="s">
        <v>164</v>
      </c>
      <c r="D22" s="128" t="s">
        <v>16</v>
      </c>
      <c r="E22" s="128"/>
      <c r="F22" s="128" t="s">
        <v>238</v>
      </c>
      <c r="G22" s="128">
        <v>1</v>
      </c>
      <c r="H22" s="128"/>
      <c r="I22" s="129" t="s">
        <v>19</v>
      </c>
      <c r="J22" s="152"/>
      <c r="K22" s="160"/>
      <c r="L22" s="161"/>
      <c r="M22" s="162"/>
      <c r="N22" s="161"/>
      <c r="O22" s="163"/>
      <c r="P22" s="130" t="s">
        <v>355</v>
      </c>
      <c r="Q22" s="166" t="s">
        <v>759</v>
      </c>
    </row>
    <row r="23" spans="1:17" ht="38.25" x14ac:dyDescent="0.2">
      <c r="A23" s="143">
        <f t="shared" si="0"/>
        <v>16</v>
      </c>
      <c r="B23" s="150" t="s">
        <v>216</v>
      </c>
      <c r="C23" s="151" t="s">
        <v>803</v>
      </c>
      <c r="D23" s="128" t="s">
        <v>16</v>
      </c>
      <c r="E23" s="128"/>
      <c r="F23" s="128" t="s">
        <v>238</v>
      </c>
      <c r="G23" s="128">
        <v>1</v>
      </c>
      <c r="H23" s="128"/>
      <c r="I23" s="129" t="s">
        <v>19</v>
      </c>
      <c r="J23" s="152"/>
      <c r="K23" s="160"/>
      <c r="L23" s="161"/>
      <c r="M23" s="162"/>
      <c r="N23" s="161"/>
      <c r="O23" s="163"/>
      <c r="P23" s="130" t="s">
        <v>355</v>
      </c>
      <c r="Q23" s="166" t="s">
        <v>760</v>
      </c>
    </row>
    <row r="24" spans="1:17" x14ac:dyDescent="0.2">
      <c r="A24" s="143">
        <f t="shared" si="0"/>
        <v>17</v>
      </c>
      <c r="B24" s="150" t="s">
        <v>293</v>
      </c>
      <c r="C24" s="177" t="s">
        <v>165</v>
      </c>
      <c r="D24" s="128" t="s">
        <v>16</v>
      </c>
      <c r="E24" s="128"/>
      <c r="F24" s="128" t="s">
        <v>238</v>
      </c>
      <c r="G24" s="128">
        <v>1</v>
      </c>
      <c r="H24" s="128"/>
      <c r="I24" s="129" t="s">
        <v>19</v>
      </c>
      <c r="J24" s="152"/>
      <c r="K24" s="160"/>
      <c r="L24" s="161"/>
      <c r="M24" s="162"/>
      <c r="N24" s="161"/>
      <c r="O24" s="163"/>
      <c r="P24" s="130" t="s">
        <v>355</v>
      </c>
      <c r="Q24" s="165"/>
    </row>
    <row r="25" spans="1:17" ht="25.5" x14ac:dyDescent="0.2">
      <c r="A25" s="143">
        <f t="shared" si="0"/>
        <v>18</v>
      </c>
      <c r="B25" s="150" t="s">
        <v>294</v>
      </c>
      <c r="C25" s="151" t="s">
        <v>780</v>
      </c>
      <c r="D25" s="128" t="s">
        <v>16</v>
      </c>
      <c r="E25" s="128"/>
      <c r="F25" s="128" t="s">
        <v>238</v>
      </c>
      <c r="G25" s="128">
        <v>1</v>
      </c>
      <c r="H25" s="128"/>
      <c r="I25" s="129" t="s">
        <v>19</v>
      </c>
      <c r="J25" s="152"/>
      <c r="K25" s="160"/>
      <c r="L25" s="161"/>
      <c r="M25" s="162"/>
      <c r="N25" s="161"/>
      <c r="O25" s="163"/>
      <c r="P25" s="130" t="s">
        <v>355</v>
      </c>
      <c r="Q25" s="165"/>
    </row>
    <row r="26" spans="1:17" ht="25.5" x14ac:dyDescent="0.2">
      <c r="A26" s="143">
        <f t="shared" si="0"/>
        <v>19</v>
      </c>
      <c r="B26" s="150" t="s">
        <v>295</v>
      </c>
      <c r="C26" s="209" t="s">
        <v>781</v>
      </c>
      <c r="D26" s="128" t="s">
        <v>16</v>
      </c>
      <c r="E26" s="128"/>
      <c r="F26" s="128" t="s">
        <v>238</v>
      </c>
      <c r="G26" s="128">
        <v>1</v>
      </c>
      <c r="H26" s="128"/>
      <c r="I26" s="129" t="s">
        <v>19</v>
      </c>
      <c r="J26" s="210"/>
      <c r="K26" s="101"/>
      <c r="L26" s="102"/>
      <c r="M26" s="211"/>
      <c r="N26" s="102"/>
      <c r="O26" s="103"/>
      <c r="P26" s="212" t="s">
        <v>377</v>
      </c>
      <c r="Q26" s="125"/>
    </row>
    <row r="27" spans="1:17" x14ac:dyDescent="0.2">
      <c r="A27" s="143">
        <f t="shared" si="0"/>
        <v>20</v>
      </c>
      <c r="B27" s="150" t="s">
        <v>634</v>
      </c>
      <c r="C27" s="102" t="s">
        <v>635</v>
      </c>
      <c r="D27" s="128" t="s">
        <v>16</v>
      </c>
      <c r="E27" s="128"/>
      <c r="F27" s="128" t="s">
        <v>238</v>
      </c>
      <c r="G27" s="128">
        <v>1</v>
      </c>
      <c r="H27" s="128"/>
      <c r="I27" s="129" t="s">
        <v>19</v>
      </c>
      <c r="J27" s="210"/>
      <c r="K27" s="101"/>
      <c r="L27" s="102"/>
      <c r="M27" s="211"/>
      <c r="N27" s="102"/>
      <c r="O27" s="103"/>
      <c r="P27" s="212" t="s">
        <v>377</v>
      </c>
      <c r="Q27" s="125"/>
    </row>
    <row r="28" spans="1:17" ht="25.5" x14ac:dyDescent="0.2">
      <c r="A28" s="143">
        <f t="shared" si="0"/>
        <v>21</v>
      </c>
      <c r="B28" s="150" t="s">
        <v>636</v>
      </c>
      <c r="C28" s="102" t="s">
        <v>961</v>
      </c>
      <c r="D28" s="128" t="s">
        <v>16</v>
      </c>
      <c r="E28" s="128"/>
      <c r="F28" s="128" t="s">
        <v>914</v>
      </c>
      <c r="G28" s="128">
        <v>1</v>
      </c>
      <c r="H28" s="128"/>
      <c r="I28" s="129" t="s">
        <v>900</v>
      </c>
      <c r="J28" s="210"/>
      <c r="K28" s="101"/>
      <c r="L28" s="102"/>
      <c r="M28" s="211"/>
      <c r="N28" s="102"/>
      <c r="O28" s="103"/>
      <c r="P28" s="212" t="s">
        <v>377</v>
      </c>
      <c r="Q28" s="125" t="s">
        <v>962</v>
      </c>
    </row>
    <row r="29" spans="1:17" ht="102" x14ac:dyDescent="0.2">
      <c r="A29" s="143">
        <f t="shared" si="0"/>
        <v>22</v>
      </c>
      <c r="B29" s="150" t="s">
        <v>1068</v>
      </c>
      <c r="C29" s="102" t="s">
        <v>1070</v>
      </c>
      <c r="D29" s="128" t="s">
        <v>16</v>
      </c>
      <c r="E29" s="128"/>
      <c r="F29" s="128" t="s">
        <v>1015</v>
      </c>
      <c r="G29" s="128">
        <v>1</v>
      </c>
      <c r="H29" s="128"/>
      <c r="I29" s="129" t="s">
        <v>900</v>
      </c>
      <c r="J29" s="210"/>
      <c r="K29" s="101"/>
      <c r="L29" s="102"/>
      <c r="M29" s="211"/>
      <c r="N29" s="102"/>
      <c r="O29" s="103"/>
      <c r="P29" s="212" t="s">
        <v>1071</v>
      </c>
      <c r="Q29" s="125" t="s">
        <v>1069</v>
      </c>
    </row>
    <row r="30" spans="1:17" ht="51" x14ac:dyDescent="0.2">
      <c r="A30" s="143">
        <f t="shared" si="0"/>
        <v>23</v>
      </c>
      <c r="B30" s="150" t="s">
        <v>1079</v>
      </c>
      <c r="C30" s="102" t="s">
        <v>1080</v>
      </c>
      <c r="D30" s="128" t="s">
        <v>16</v>
      </c>
      <c r="E30" s="128"/>
      <c r="F30" s="128" t="s">
        <v>1015</v>
      </c>
      <c r="G30" s="128">
        <v>1</v>
      </c>
      <c r="H30" s="128"/>
      <c r="I30" s="129" t="s">
        <v>900</v>
      </c>
      <c r="J30" s="210"/>
      <c r="K30" s="101"/>
      <c r="L30" s="102"/>
      <c r="M30" s="211"/>
      <c r="N30" s="102"/>
      <c r="O30" s="103"/>
      <c r="P30" s="212" t="s">
        <v>1071</v>
      </c>
      <c r="Q30" s="125" t="s">
        <v>1069</v>
      </c>
    </row>
    <row r="31" spans="1:17" ht="25.5" x14ac:dyDescent="0.2">
      <c r="A31" s="143">
        <f>A28+1</f>
        <v>22</v>
      </c>
      <c r="B31" s="150" t="s">
        <v>705</v>
      </c>
      <c r="C31" s="151" t="s">
        <v>963</v>
      </c>
      <c r="D31" s="128" t="s">
        <v>16</v>
      </c>
      <c r="E31" s="128"/>
      <c r="F31" s="128" t="s">
        <v>914</v>
      </c>
      <c r="G31" s="128">
        <v>1</v>
      </c>
      <c r="H31" s="128"/>
      <c r="I31" s="129" t="s">
        <v>900</v>
      </c>
      <c r="J31" s="152"/>
      <c r="K31" s="160"/>
      <c r="L31" s="161"/>
      <c r="M31" s="162"/>
      <c r="N31" s="161"/>
      <c r="O31" s="163"/>
      <c r="P31" s="130" t="s">
        <v>159</v>
      </c>
      <c r="Q31" s="164" t="s">
        <v>966</v>
      </c>
    </row>
    <row r="32" spans="1:17" ht="25.5" x14ac:dyDescent="0.2">
      <c r="A32" s="143">
        <f t="shared" si="0"/>
        <v>23</v>
      </c>
      <c r="B32" s="172" t="s">
        <v>706</v>
      </c>
      <c r="C32" s="151" t="s">
        <v>964</v>
      </c>
      <c r="D32" s="128" t="s">
        <v>16</v>
      </c>
      <c r="E32" s="128"/>
      <c r="F32" s="128" t="s">
        <v>914</v>
      </c>
      <c r="G32" s="128">
        <v>1</v>
      </c>
      <c r="H32" s="128"/>
      <c r="I32" s="129" t="s">
        <v>900</v>
      </c>
      <c r="J32" s="152"/>
      <c r="K32" s="160"/>
      <c r="L32" s="169"/>
      <c r="M32" s="162"/>
      <c r="N32" s="169"/>
      <c r="O32" s="171"/>
      <c r="P32" s="130" t="s">
        <v>159</v>
      </c>
      <c r="Q32" s="164" t="s">
        <v>966</v>
      </c>
    </row>
    <row r="33" spans="1:17" ht="25.5" x14ac:dyDescent="0.2">
      <c r="A33" s="143">
        <f t="shared" si="0"/>
        <v>24</v>
      </c>
      <c r="B33" s="150" t="s">
        <v>707</v>
      </c>
      <c r="C33" s="151" t="s">
        <v>965</v>
      </c>
      <c r="D33" s="128" t="s">
        <v>16</v>
      </c>
      <c r="E33" s="128"/>
      <c r="F33" s="128" t="s">
        <v>914</v>
      </c>
      <c r="G33" s="128">
        <v>1</v>
      </c>
      <c r="H33" s="128"/>
      <c r="I33" s="129" t="s">
        <v>900</v>
      </c>
      <c r="J33" s="152"/>
      <c r="K33" s="160"/>
      <c r="L33" s="169"/>
      <c r="M33" s="162"/>
      <c r="N33" s="169"/>
      <c r="O33" s="171"/>
      <c r="P33" s="130" t="s">
        <v>159</v>
      </c>
      <c r="Q33" s="164" t="s">
        <v>966</v>
      </c>
    </row>
    <row r="34" spans="1:17" ht="25.5" x14ac:dyDescent="0.2">
      <c r="A34" s="143">
        <f t="shared" si="0"/>
        <v>25</v>
      </c>
      <c r="B34" s="150" t="s">
        <v>297</v>
      </c>
      <c r="C34" s="151" t="s">
        <v>447</v>
      </c>
      <c r="D34" s="128" t="s">
        <v>16</v>
      </c>
      <c r="E34" s="128"/>
      <c r="F34" s="128" t="s">
        <v>238</v>
      </c>
      <c r="G34" s="128">
        <v>1</v>
      </c>
      <c r="H34" s="128"/>
      <c r="I34" s="129" t="s">
        <v>19</v>
      </c>
      <c r="J34" s="152"/>
      <c r="K34" s="160"/>
      <c r="L34" s="161"/>
      <c r="M34" s="162"/>
      <c r="N34" s="161"/>
      <c r="O34" s="163"/>
      <c r="P34" s="130" t="s">
        <v>160</v>
      </c>
      <c r="Q34" s="164"/>
    </row>
    <row r="35" spans="1:17" ht="76.5" x14ac:dyDescent="0.2">
      <c r="A35" s="143">
        <f t="shared" si="0"/>
        <v>26</v>
      </c>
      <c r="B35" s="150" t="s">
        <v>298</v>
      </c>
      <c r="C35" s="151" t="s">
        <v>975</v>
      </c>
      <c r="D35" s="128" t="s">
        <v>16</v>
      </c>
      <c r="E35" s="128"/>
      <c r="F35" s="128" t="s">
        <v>914</v>
      </c>
      <c r="G35" s="128">
        <v>1</v>
      </c>
      <c r="H35" s="128"/>
      <c r="I35" s="129" t="s">
        <v>900</v>
      </c>
      <c r="J35" s="152"/>
      <c r="K35" s="160"/>
      <c r="L35" s="161"/>
      <c r="M35" s="162"/>
      <c r="N35" s="161"/>
      <c r="O35" s="163"/>
      <c r="P35" s="130" t="s">
        <v>349</v>
      </c>
      <c r="Q35" s="164" t="s">
        <v>931</v>
      </c>
    </row>
    <row r="36" spans="1:17" ht="25.5" x14ac:dyDescent="0.2">
      <c r="A36" s="143">
        <f t="shared" si="0"/>
        <v>27</v>
      </c>
      <c r="B36" s="150" t="s">
        <v>441</v>
      </c>
      <c r="C36" s="151" t="s">
        <v>782</v>
      </c>
      <c r="D36" s="128" t="s">
        <v>16</v>
      </c>
      <c r="E36" s="128"/>
      <c r="F36" s="128" t="s">
        <v>238</v>
      </c>
      <c r="G36" s="128">
        <v>1</v>
      </c>
      <c r="H36" s="128"/>
      <c r="I36" s="129" t="s">
        <v>19</v>
      </c>
      <c r="J36" s="152"/>
      <c r="K36" s="160"/>
      <c r="L36" s="161"/>
      <c r="M36" s="162"/>
      <c r="N36" s="161"/>
      <c r="O36" s="163"/>
      <c r="P36" s="131" t="s">
        <v>357</v>
      </c>
      <c r="Q36" s="164"/>
    </row>
    <row r="37" spans="1:17" ht="25.5" x14ac:dyDescent="0.2">
      <c r="A37" s="143">
        <f t="shared" si="0"/>
        <v>28</v>
      </c>
      <c r="B37" s="150" t="s">
        <v>445</v>
      </c>
      <c r="C37" s="237" t="s">
        <v>446</v>
      </c>
      <c r="D37" s="128" t="s">
        <v>16</v>
      </c>
      <c r="E37" s="128"/>
      <c r="F37" s="128" t="s">
        <v>238</v>
      </c>
      <c r="G37" s="128">
        <v>1</v>
      </c>
      <c r="H37" s="128"/>
      <c r="I37" s="129" t="s">
        <v>19</v>
      </c>
      <c r="J37" s="152"/>
      <c r="K37" s="160"/>
      <c r="L37" s="161"/>
      <c r="M37" s="162"/>
      <c r="N37" s="161"/>
      <c r="O37" s="163"/>
      <c r="P37" s="131" t="s">
        <v>357</v>
      </c>
      <c r="Q37" s="164"/>
    </row>
    <row r="38" spans="1:17" ht="25.5" x14ac:dyDescent="0.2">
      <c r="A38" s="143">
        <f t="shared" si="0"/>
        <v>29</v>
      </c>
      <c r="B38" s="150" t="s">
        <v>620</v>
      </c>
      <c r="C38" s="202" t="s">
        <v>619</v>
      </c>
      <c r="D38" s="203" t="s">
        <v>16</v>
      </c>
      <c r="E38" s="203"/>
      <c r="F38" s="203" t="s">
        <v>238</v>
      </c>
      <c r="G38" s="203">
        <v>1</v>
      </c>
      <c r="H38" s="203"/>
      <c r="I38" s="204" t="s">
        <v>19</v>
      </c>
      <c r="J38" s="205"/>
      <c r="K38" s="206"/>
      <c r="L38" s="207"/>
      <c r="M38" s="208"/>
      <c r="N38" s="207"/>
      <c r="O38" s="206"/>
      <c r="P38" s="204" t="s">
        <v>903</v>
      </c>
      <c r="Q38" s="164"/>
    </row>
    <row r="39" spans="1:17" x14ac:dyDescent="0.2">
      <c r="A39" s="143">
        <f t="shared" si="0"/>
        <v>30</v>
      </c>
      <c r="B39" s="150" t="s">
        <v>299</v>
      </c>
      <c r="C39" s="151" t="s">
        <v>783</v>
      </c>
      <c r="D39" s="128" t="s">
        <v>16</v>
      </c>
      <c r="E39" s="128"/>
      <c r="F39" s="128" t="s">
        <v>238</v>
      </c>
      <c r="G39" s="128">
        <v>1</v>
      </c>
      <c r="H39" s="128"/>
      <c r="I39" s="129" t="s">
        <v>19</v>
      </c>
      <c r="J39" s="152"/>
      <c r="K39" s="160"/>
      <c r="L39" s="161"/>
      <c r="M39" s="162"/>
      <c r="N39" s="161"/>
      <c r="O39" s="163"/>
      <c r="P39" s="131" t="s">
        <v>357</v>
      </c>
      <c r="Q39" s="165"/>
    </row>
    <row r="40" spans="1:17" ht="25.5" x14ac:dyDescent="0.2">
      <c r="A40" s="143">
        <f t="shared" si="0"/>
        <v>31</v>
      </c>
      <c r="B40" s="150" t="s">
        <v>300</v>
      </c>
      <c r="C40" s="151" t="s">
        <v>233</v>
      </c>
      <c r="D40" s="128" t="s">
        <v>16</v>
      </c>
      <c r="E40" s="128"/>
      <c r="F40" s="128" t="s">
        <v>238</v>
      </c>
      <c r="G40" s="128">
        <v>1</v>
      </c>
      <c r="H40" s="128"/>
      <c r="I40" s="129" t="s">
        <v>19</v>
      </c>
      <c r="J40" s="152"/>
      <c r="K40" s="160"/>
      <c r="L40" s="161"/>
      <c r="M40" s="162"/>
      <c r="N40" s="161"/>
      <c r="O40" s="163"/>
      <c r="P40" s="131" t="s">
        <v>357</v>
      </c>
      <c r="Q40" s="166" t="s">
        <v>234</v>
      </c>
    </row>
    <row r="41" spans="1:17" ht="140.25" customHeight="1" x14ac:dyDescent="0.2">
      <c r="A41" s="143">
        <f t="shared" si="0"/>
        <v>32</v>
      </c>
      <c r="B41" s="150" t="s">
        <v>301</v>
      </c>
      <c r="C41" s="151" t="s">
        <v>932</v>
      </c>
      <c r="D41" s="128" t="s">
        <v>16</v>
      </c>
      <c r="E41" s="128"/>
      <c r="F41" s="128" t="s">
        <v>914</v>
      </c>
      <c r="G41" s="128">
        <v>1</v>
      </c>
      <c r="H41" s="128"/>
      <c r="I41" s="129" t="s">
        <v>900</v>
      </c>
      <c r="J41" s="152"/>
      <c r="K41" s="160"/>
      <c r="L41" s="161"/>
      <c r="M41" s="162"/>
      <c r="N41" s="161"/>
      <c r="O41" s="163"/>
      <c r="P41" s="130" t="s">
        <v>158</v>
      </c>
      <c r="Q41" s="164" t="s">
        <v>933</v>
      </c>
    </row>
    <row r="42" spans="1:17" ht="25.5" x14ac:dyDescent="0.2">
      <c r="A42" s="143">
        <f t="shared" si="0"/>
        <v>33</v>
      </c>
      <c r="B42" s="150" t="s">
        <v>302</v>
      </c>
      <c r="C42" s="151" t="s">
        <v>784</v>
      </c>
      <c r="D42" s="128" t="s">
        <v>16</v>
      </c>
      <c r="E42" s="128"/>
      <c r="F42" s="128" t="s">
        <v>238</v>
      </c>
      <c r="G42" s="128">
        <v>1</v>
      </c>
      <c r="H42" s="128"/>
      <c r="I42" s="129" t="s">
        <v>19</v>
      </c>
      <c r="J42" s="152"/>
      <c r="K42" s="160"/>
      <c r="L42" s="161"/>
      <c r="M42" s="162"/>
      <c r="N42" s="161"/>
      <c r="O42" s="163"/>
      <c r="P42" s="130" t="s">
        <v>158</v>
      </c>
      <c r="Q42" s="164"/>
    </row>
    <row r="43" spans="1:17" ht="25.5" x14ac:dyDescent="0.2">
      <c r="A43" s="143">
        <f t="shared" si="0"/>
        <v>34</v>
      </c>
      <c r="B43" s="150" t="s">
        <v>303</v>
      </c>
      <c r="C43" s="151" t="s">
        <v>785</v>
      </c>
      <c r="D43" s="128" t="s">
        <v>16</v>
      </c>
      <c r="E43" s="128"/>
      <c r="F43" s="128" t="s">
        <v>238</v>
      </c>
      <c r="G43" s="128">
        <v>1</v>
      </c>
      <c r="H43" s="128"/>
      <c r="I43" s="129" t="s">
        <v>19</v>
      </c>
      <c r="J43" s="152"/>
      <c r="K43" s="160"/>
      <c r="L43" s="161"/>
      <c r="M43" s="162"/>
      <c r="N43" s="161"/>
      <c r="O43" s="163"/>
      <c r="P43" s="130" t="s">
        <v>158</v>
      </c>
      <c r="Q43" s="164"/>
    </row>
    <row r="44" spans="1:17" ht="25.5" x14ac:dyDescent="0.2">
      <c r="A44" s="143">
        <f t="shared" si="0"/>
        <v>35</v>
      </c>
      <c r="B44" s="150" t="s">
        <v>304</v>
      </c>
      <c r="C44" s="151" t="s">
        <v>786</v>
      </c>
      <c r="D44" s="128" t="s">
        <v>16</v>
      </c>
      <c r="E44" s="128"/>
      <c r="F44" s="128" t="s">
        <v>238</v>
      </c>
      <c r="G44" s="128">
        <v>1</v>
      </c>
      <c r="H44" s="128"/>
      <c r="I44" s="129" t="s">
        <v>19</v>
      </c>
      <c r="J44" s="152"/>
      <c r="K44" s="160"/>
      <c r="L44" s="161"/>
      <c r="M44" s="162"/>
      <c r="N44" s="161"/>
      <c r="O44" s="163"/>
      <c r="P44" s="130" t="s">
        <v>158</v>
      </c>
      <c r="Q44" s="164"/>
    </row>
    <row r="45" spans="1:17" s="115" customFormat="1" ht="89.25" x14ac:dyDescent="0.2">
      <c r="A45" s="143">
        <f t="shared" si="0"/>
        <v>36</v>
      </c>
      <c r="B45" s="150" t="s">
        <v>305</v>
      </c>
      <c r="C45" s="151" t="s">
        <v>967</v>
      </c>
      <c r="D45" s="128" t="s">
        <v>16</v>
      </c>
      <c r="E45" s="128"/>
      <c r="F45" s="128" t="s">
        <v>914</v>
      </c>
      <c r="G45" s="128">
        <v>1</v>
      </c>
      <c r="H45" s="128"/>
      <c r="I45" s="129" t="s">
        <v>900</v>
      </c>
      <c r="J45" s="152"/>
      <c r="K45" s="160"/>
      <c r="L45" s="161"/>
      <c r="M45" s="162"/>
      <c r="N45" s="161"/>
      <c r="O45" s="163"/>
      <c r="P45" s="130" t="s">
        <v>158</v>
      </c>
      <c r="Q45" s="164" t="s">
        <v>968</v>
      </c>
    </row>
    <row r="46" spans="1:17" ht="25.5" x14ac:dyDescent="0.2">
      <c r="A46" s="143">
        <f t="shared" si="0"/>
        <v>37</v>
      </c>
      <c r="B46" s="150" t="s">
        <v>306</v>
      </c>
      <c r="C46" s="151" t="s">
        <v>787</v>
      </c>
      <c r="D46" s="128" t="s">
        <v>16</v>
      </c>
      <c r="E46" s="128"/>
      <c r="F46" s="128" t="s">
        <v>238</v>
      </c>
      <c r="G46" s="128">
        <v>1</v>
      </c>
      <c r="H46" s="128"/>
      <c r="I46" s="129" t="s">
        <v>19</v>
      </c>
      <c r="J46" s="152"/>
      <c r="K46" s="160"/>
      <c r="L46" s="161"/>
      <c r="M46" s="162"/>
      <c r="N46" s="161"/>
      <c r="O46" s="163"/>
      <c r="P46" s="130" t="s">
        <v>158</v>
      </c>
      <c r="Q46" s="165"/>
    </row>
    <row r="47" spans="1:17" ht="25.5" x14ac:dyDescent="0.2">
      <c r="A47" s="143">
        <f t="shared" si="0"/>
        <v>38</v>
      </c>
      <c r="B47" s="150" t="s">
        <v>307</v>
      </c>
      <c r="C47" s="151" t="s">
        <v>176</v>
      </c>
      <c r="D47" s="128" t="s">
        <v>16</v>
      </c>
      <c r="E47" s="128"/>
      <c r="F47" s="128" t="s">
        <v>238</v>
      </c>
      <c r="G47" s="128">
        <v>1</v>
      </c>
      <c r="H47" s="128"/>
      <c r="I47" s="129" t="s">
        <v>19</v>
      </c>
      <c r="J47" s="152"/>
      <c r="K47" s="160"/>
      <c r="L47" s="161"/>
      <c r="M47" s="162"/>
      <c r="N47" s="161"/>
      <c r="O47" s="163"/>
      <c r="P47" s="130" t="s">
        <v>158</v>
      </c>
      <c r="Q47" s="165"/>
    </row>
    <row r="48" spans="1:17" ht="25.5" x14ac:dyDescent="0.2">
      <c r="A48" s="143">
        <f t="shared" si="0"/>
        <v>39</v>
      </c>
      <c r="B48" s="150" t="s">
        <v>308</v>
      </c>
      <c r="C48" s="151" t="s">
        <v>177</v>
      </c>
      <c r="D48" s="128" t="s">
        <v>16</v>
      </c>
      <c r="E48" s="128"/>
      <c r="F48" s="128" t="s">
        <v>238</v>
      </c>
      <c r="G48" s="128">
        <v>1</v>
      </c>
      <c r="H48" s="128"/>
      <c r="I48" s="129" t="s">
        <v>19</v>
      </c>
      <c r="J48" s="152"/>
      <c r="K48" s="160"/>
      <c r="L48" s="161"/>
      <c r="M48" s="162"/>
      <c r="N48" s="161"/>
      <c r="O48" s="163"/>
      <c r="P48" s="130" t="s">
        <v>158</v>
      </c>
      <c r="Q48" s="165"/>
    </row>
    <row r="49" spans="1:17" ht="25.5" x14ac:dyDescent="0.2">
      <c r="A49" s="143">
        <f t="shared" si="0"/>
        <v>40</v>
      </c>
      <c r="B49" s="150" t="s">
        <v>309</v>
      </c>
      <c r="C49" s="151" t="s">
        <v>178</v>
      </c>
      <c r="D49" s="128" t="s">
        <v>16</v>
      </c>
      <c r="E49" s="128"/>
      <c r="F49" s="128" t="s">
        <v>238</v>
      </c>
      <c r="G49" s="128">
        <v>1</v>
      </c>
      <c r="H49" s="128"/>
      <c r="I49" s="129" t="s">
        <v>19</v>
      </c>
      <c r="J49" s="152"/>
      <c r="K49" s="160"/>
      <c r="L49" s="161"/>
      <c r="M49" s="162"/>
      <c r="N49" s="161"/>
      <c r="O49" s="163"/>
      <c r="P49" s="130" t="s">
        <v>158</v>
      </c>
      <c r="Q49" s="165"/>
    </row>
    <row r="50" spans="1:17" ht="25.5" x14ac:dyDescent="0.2">
      <c r="A50" s="143">
        <f t="shared" si="0"/>
        <v>41</v>
      </c>
      <c r="B50" s="150" t="s">
        <v>310</v>
      </c>
      <c r="C50" s="151" t="s">
        <v>179</v>
      </c>
      <c r="D50" s="128" t="s">
        <v>16</v>
      </c>
      <c r="E50" s="128"/>
      <c r="F50" s="128" t="s">
        <v>238</v>
      </c>
      <c r="G50" s="128">
        <v>1</v>
      </c>
      <c r="H50" s="128"/>
      <c r="I50" s="129" t="s">
        <v>19</v>
      </c>
      <c r="J50" s="152"/>
      <c r="K50" s="160"/>
      <c r="L50" s="161"/>
      <c r="M50" s="162"/>
      <c r="N50" s="161"/>
      <c r="O50" s="163"/>
      <c r="P50" s="130" t="s">
        <v>158</v>
      </c>
      <c r="Q50" s="165"/>
    </row>
    <row r="51" spans="1:17" ht="25.5" x14ac:dyDescent="0.2">
      <c r="A51" s="143">
        <f t="shared" si="0"/>
        <v>42</v>
      </c>
      <c r="B51" s="150" t="s">
        <v>311</v>
      </c>
      <c r="C51" s="151" t="s">
        <v>788</v>
      </c>
      <c r="D51" s="128" t="s">
        <v>16</v>
      </c>
      <c r="E51" s="128"/>
      <c r="F51" s="128" t="s">
        <v>914</v>
      </c>
      <c r="G51" s="128">
        <v>1</v>
      </c>
      <c r="H51" s="128"/>
      <c r="I51" s="129" t="s">
        <v>20</v>
      </c>
      <c r="J51" s="152"/>
      <c r="K51" s="160"/>
      <c r="L51" s="161"/>
      <c r="M51" s="162"/>
      <c r="N51" s="161"/>
      <c r="O51" s="163"/>
      <c r="P51" s="130" t="s">
        <v>158</v>
      </c>
      <c r="Q51" s="164" t="s">
        <v>1006</v>
      </c>
    </row>
    <row r="52" spans="1:17" ht="25.5" x14ac:dyDescent="0.2">
      <c r="A52" s="143">
        <f t="shared" si="0"/>
        <v>43</v>
      </c>
      <c r="B52" s="150" t="s">
        <v>312</v>
      </c>
      <c r="C52" s="151" t="s">
        <v>155</v>
      </c>
      <c r="D52" s="128" t="s">
        <v>16</v>
      </c>
      <c r="E52" s="128"/>
      <c r="F52" s="128" t="s">
        <v>238</v>
      </c>
      <c r="G52" s="128">
        <v>1</v>
      </c>
      <c r="H52" s="128"/>
      <c r="I52" s="129" t="s">
        <v>19</v>
      </c>
      <c r="J52" s="152"/>
      <c r="K52" s="160"/>
      <c r="L52" s="161"/>
      <c r="M52" s="162"/>
      <c r="N52" s="161"/>
      <c r="O52" s="163"/>
      <c r="P52" s="130" t="s">
        <v>158</v>
      </c>
      <c r="Q52" s="164" t="s">
        <v>692</v>
      </c>
    </row>
    <row r="53" spans="1:17" ht="25.5" x14ac:dyDescent="0.2">
      <c r="A53" s="143">
        <f t="shared" si="0"/>
        <v>44</v>
      </c>
      <c r="B53" s="150" t="s">
        <v>313</v>
      </c>
      <c r="C53" s="177" t="s">
        <v>156</v>
      </c>
      <c r="D53" s="128" t="s">
        <v>16</v>
      </c>
      <c r="E53" s="128"/>
      <c r="F53" s="128" t="s">
        <v>238</v>
      </c>
      <c r="G53" s="128">
        <v>1</v>
      </c>
      <c r="H53" s="128"/>
      <c r="I53" s="129" t="s">
        <v>19</v>
      </c>
      <c r="J53" s="152"/>
      <c r="K53" s="160"/>
      <c r="L53" s="161"/>
      <c r="M53" s="162"/>
      <c r="N53" s="161"/>
      <c r="O53" s="163"/>
      <c r="P53" s="130" t="s">
        <v>158</v>
      </c>
      <c r="Q53" s="164" t="s">
        <v>692</v>
      </c>
    </row>
    <row r="54" spans="1:17" x14ac:dyDescent="0.2">
      <c r="A54" s="143">
        <f t="shared" si="0"/>
        <v>45</v>
      </c>
      <c r="B54" s="150" t="s">
        <v>314</v>
      </c>
      <c r="C54" s="177" t="s">
        <v>157</v>
      </c>
      <c r="D54" s="128" t="s">
        <v>16</v>
      </c>
      <c r="E54" s="128"/>
      <c r="F54" s="128" t="s">
        <v>238</v>
      </c>
      <c r="G54" s="128">
        <v>1</v>
      </c>
      <c r="H54" s="128"/>
      <c r="I54" s="129" t="s">
        <v>19</v>
      </c>
      <c r="J54" s="152"/>
      <c r="K54" s="160"/>
      <c r="L54" s="161"/>
      <c r="M54" s="162"/>
      <c r="N54" s="161"/>
      <c r="O54" s="163"/>
      <c r="P54" s="130" t="s">
        <v>904</v>
      </c>
      <c r="Q54" s="164" t="s">
        <v>692</v>
      </c>
    </row>
    <row r="55" spans="1:17" ht="25.5" x14ac:dyDescent="0.2">
      <c r="A55" s="143">
        <f t="shared" si="0"/>
        <v>46</v>
      </c>
      <c r="B55" s="159" t="s">
        <v>315</v>
      </c>
      <c r="C55" s="151" t="s">
        <v>180</v>
      </c>
      <c r="D55" s="128" t="s">
        <v>16</v>
      </c>
      <c r="E55" s="128"/>
      <c r="F55" s="128" t="s">
        <v>238</v>
      </c>
      <c r="G55" s="128">
        <v>1</v>
      </c>
      <c r="H55" s="128"/>
      <c r="I55" s="129" t="s">
        <v>19</v>
      </c>
      <c r="J55" s="152"/>
      <c r="K55" s="160"/>
      <c r="L55" s="161"/>
      <c r="M55" s="162"/>
      <c r="N55" s="161"/>
      <c r="O55" s="163"/>
      <c r="P55" s="131" t="s">
        <v>374</v>
      </c>
      <c r="Q55" s="165"/>
    </row>
    <row r="56" spans="1:17" ht="25.5" x14ac:dyDescent="0.2">
      <c r="A56" s="143">
        <f t="shared" si="0"/>
        <v>47</v>
      </c>
      <c r="B56" s="159" t="s">
        <v>316</v>
      </c>
      <c r="C56" s="151" t="s">
        <v>789</v>
      </c>
      <c r="D56" s="128" t="s">
        <v>16</v>
      </c>
      <c r="E56" s="128"/>
      <c r="F56" s="128" t="s">
        <v>238</v>
      </c>
      <c r="G56" s="128">
        <v>1</v>
      </c>
      <c r="H56" s="128"/>
      <c r="I56" s="129" t="s">
        <v>19</v>
      </c>
      <c r="J56" s="152"/>
      <c r="K56" s="160"/>
      <c r="L56" s="161"/>
      <c r="M56" s="162"/>
      <c r="N56" s="161"/>
      <c r="O56" s="163"/>
      <c r="P56" s="130" t="s">
        <v>375</v>
      </c>
      <c r="Q56" s="166" t="s">
        <v>202</v>
      </c>
    </row>
    <row r="57" spans="1:17" ht="25.5" x14ac:dyDescent="0.2">
      <c r="A57" s="143">
        <f t="shared" si="0"/>
        <v>48</v>
      </c>
      <c r="B57" s="159" t="s">
        <v>317</v>
      </c>
      <c r="C57" s="151" t="s">
        <v>790</v>
      </c>
      <c r="D57" s="128" t="s">
        <v>16</v>
      </c>
      <c r="E57" s="128"/>
      <c r="F57" s="128" t="s">
        <v>238</v>
      </c>
      <c r="G57" s="128">
        <v>1</v>
      </c>
      <c r="H57" s="128"/>
      <c r="I57" s="129" t="s">
        <v>19</v>
      </c>
      <c r="J57" s="152"/>
      <c r="K57" s="160"/>
      <c r="L57" s="161"/>
      <c r="M57" s="162"/>
      <c r="N57" s="161"/>
      <c r="O57" s="163"/>
      <c r="P57" s="131" t="s">
        <v>374</v>
      </c>
      <c r="Q57" s="166" t="s">
        <v>730</v>
      </c>
    </row>
    <row r="58" spans="1:17" ht="25.5" x14ac:dyDescent="0.2">
      <c r="A58" s="143">
        <f t="shared" si="0"/>
        <v>49</v>
      </c>
      <c r="B58" s="159" t="s">
        <v>725</v>
      </c>
      <c r="C58" s="151" t="s">
        <v>726</v>
      </c>
      <c r="D58" s="128" t="s">
        <v>16</v>
      </c>
      <c r="E58" s="128"/>
      <c r="F58" s="128" t="s">
        <v>238</v>
      </c>
      <c r="G58" s="128">
        <v>1</v>
      </c>
      <c r="H58" s="128"/>
      <c r="I58" s="129" t="s">
        <v>19</v>
      </c>
      <c r="J58" s="152"/>
      <c r="K58" s="160"/>
      <c r="L58" s="161"/>
      <c r="M58" s="162"/>
      <c r="N58" s="161"/>
      <c r="O58" s="163"/>
      <c r="P58" s="131" t="s">
        <v>374</v>
      </c>
      <c r="Q58" s="166"/>
    </row>
    <row r="59" spans="1:17" ht="51" x14ac:dyDescent="0.2">
      <c r="A59" s="143">
        <f>A57+1</f>
        <v>49</v>
      </c>
      <c r="B59" s="159" t="s">
        <v>664</v>
      </c>
      <c r="C59" s="151" t="s">
        <v>771</v>
      </c>
      <c r="D59" s="128" t="s">
        <v>16</v>
      </c>
      <c r="E59" s="128"/>
      <c r="F59" s="128" t="s">
        <v>238</v>
      </c>
      <c r="G59" s="128">
        <v>1</v>
      </c>
      <c r="H59" s="128"/>
      <c r="I59" s="129" t="s">
        <v>19</v>
      </c>
      <c r="J59" s="152"/>
      <c r="K59" s="160"/>
      <c r="L59" s="161"/>
      <c r="M59" s="162"/>
      <c r="N59" s="161"/>
      <c r="O59" s="163"/>
      <c r="P59" s="131" t="s">
        <v>370</v>
      </c>
      <c r="Q59" s="166"/>
    </row>
    <row r="60" spans="1:17" x14ac:dyDescent="0.2">
      <c r="A60" s="143">
        <f t="shared" si="0"/>
        <v>50</v>
      </c>
      <c r="B60" s="159" t="s">
        <v>665</v>
      </c>
      <c r="C60" s="151" t="s">
        <v>772</v>
      </c>
      <c r="D60" s="128" t="s">
        <v>16</v>
      </c>
      <c r="E60" s="128"/>
      <c r="F60" s="128" t="s">
        <v>238</v>
      </c>
      <c r="G60" s="128">
        <v>1</v>
      </c>
      <c r="H60" s="128"/>
      <c r="I60" s="129" t="s">
        <v>19</v>
      </c>
      <c r="J60" s="152"/>
      <c r="K60" s="160"/>
      <c r="L60" s="161"/>
      <c r="M60" s="162"/>
      <c r="N60" s="161"/>
      <c r="O60" s="163"/>
      <c r="P60" s="131" t="s">
        <v>370</v>
      </c>
      <c r="Q60" s="166"/>
    </row>
    <row r="61" spans="1:17" x14ac:dyDescent="0.2">
      <c r="A61" s="143">
        <f t="shared" si="0"/>
        <v>51</v>
      </c>
      <c r="B61" s="159" t="s">
        <v>666</v>
      </c>
      <c r="C61" s="151" t="s">
        <v>773</v>
      </c>
      <c r="D61" s="128" t="s">
        <v>16</v>
      </c>
      <c r="E61" s="128"/>
      <c r="F61" s="128" t="s">
        <v>238</v>
      </c>
      <c r="G61" s="128">
        <v>1</v>
      </c>
      <c r="H61" s="128"/>
      <c r="I61" s="129" t="s">
        <v>19</v>
      </c>
      <c r="J61" s="152"/>
      <c r="K61" s="160"/>
      <c r="L61" s="161"/>
      <c r="M61" s="162"/>
      <c r="N61" s="161"/>
      <c r="O61" s="163"/>
      <c r="P61" s="131" t="s">
        <v>370</v>
      </c>
      <c r="Q61" s="166"/>
    </row>
    <row r="62" spans="1:17" ht="25.5" x14ac:dyDescent="0.2">
      <c r="A62" s="143">
        <f t="shared" si="0"/>
        <v>52</v>
      </c>
      <c r="B62" s="159" t="s">
        <v>667</v>
      </c>
      <c r="C62" s="151" t="s">
        <v>774</v>
      </c>
      <c r="D62" s="128" t="s">
        <v>16</v>
      </c>
      <c r="E62" s="128"/>
      <c r="F62" s="128" t="s">
        <v>238</v>
      </c>
      <c r="G62" s="128">
        <v>1</v>
      </c>
      <c r="H62" s="128"/>
      <c r="I62" s="129" t="s">
        <v>19</v>
      </c>
      <c r="J62" s="152"/>
      <c r="K62" s="160"/>
      <c r="L62" s="161"/>
      <c r="M62" s="162"/>
      <c r="N62" s="161"/>
      <c r="O62" s="163"/>
      <c r="P62" s="131" t="s">
        <v>370</v>
      </c>
      <c r="Q62" s="166"/>
    </row>
  </sheetData>
  <autoFilter ref="A5:Q62"/>
  <mergeCells count="2">
    <mergeCell ref="B3:L3"/>
    <mergeCell ref="B2:R2"/>
  </mergeCells>
  <phoneticPr fontId="6" type="noConversion"/>
  <conditionalFormatting sqref="O39 O8:P25 O31:P31">
    <cfRule type="cellIs" dxfId="2045" priority="200" stopIfTrue="1" operator="equal">
      <formula>#REF!</formula>
    </cfRule>
  </conditionalFormatting>
  <conditionalFormatting sqref="O21">
    <cfRule type="cellIs" dxfId="2044" priority="199" stopIfTrue="1" operator="equal">
      <formula>#REF!</formula>
    </cfRule>
  </conditionalFormatting>
  <conditionalFormatting sqref="O10:P10">
    <cfRule type="cellIs" dxfId="2043" priority="198" stopIfTrue="1" operator="equal">
      <formula>#REF!</formula>
    </cfRule>
  </conditionalFormatting>
  <conditionalFormatting sqref="O39:O40">
    <cfRule type="cellIs" dxfId="2042" priority="192" stopIfTrue="1" operator="equal">
      <formula>#REF!</formula>
    </cfRule>
  </conditionalFormatting>
  <conditionalFormatting sqref="O41:P54">
    <cfRule type="cellIs" dxfId="2041" priority="184" stopIfTrue="1" operator="equal">
      <formula>#REF!</formula>
    </cfRule>
  </conditionalFormatting>
  <conditionalFormatting sqref="O42:P42">
    <cfRule type="cellIs" dxfId="2040" priority="183" stopIfTrue="1" operator="equal">
      <formula>#REF!</formula>
    </cfRule>
  </conditionalFormatting>
  <conditionalFormatting sqref="O51:P51">
    <cfRule type="cellIs" dxfId="2039" priority="182" stopIfTrue="1" operator="equal">
      <formula>#REF!</formula>
    </cfRule>
  </conditionalFormatting>
  <conditionalFormatting sqref="P31">
    <cfRule type="cellIs" dxfId="2038" priority="143" stopIfTrue="1" operator="equal">
      <formula>#REF!</formula>
    </cfRule>
  </conditionalFormatting>
  <conditionalFormatting sqref="P39">
    <cfRule type="cellIs" dxfId="2037" priority="141" stopIfTrue="1" operator="equal">
      <formula>#REF!</formula>
    </cfRule>
  </conditionalFormatting>
  <conditionalFormatting sqref="P40">
    <cfRule type="cellIs" dxfId="2036" priority="140" stopIfTrue="1" operator="equal">
      <formula>#REF!</formula>
    </cfRule>
  </conditionalFormatting>
  <conditionalFormatting sqref="O19">
    <cfRule type="cellIs" dxfId="2035" priority="123" stopIfTrue="1" operator="equal">
      <formula>#REF!</formula>
    </cfRule>
  </conditionalFormatting>
  <conditionalFormatting sqref="P31">
    <cfRule type="cellIs" dxfId="2034" priority="118" stopIfTrue="1" operator="equal">
      <formula>#REF!</formula>
    </cfRule>
  </conditionalFormatting>
  <conditionalFormatting sqref="O34:P35 O36:O38">
    <cfRule type="cellIs" dxfId="2033" priority="110" stopIfTrue="1" operator="equal">
      <formula>#REF!</formula>
    </cfRule>
  </conditionalFormatting>
  <conditionalFormatting sqref="P39">
    <cfRule type="cellIs" dxfId="2032" priority="109" stopIfTrue="1" operator="equal">
      <formula>#REF!</formula>
    </cfRule>
  </conditionalFormatting>
  <conditionalFormatting sqref="P40">
    <cfRule type="cellIs" dxfId="2031" priority="108" stopIfTrue="1" operator="equal">
      <formula>#REF!</formula>
    </cfRule>
  </conditionalFormatting>
  <conditionalFormatting sqref="O55:P57">
    <cfRule type="cellIs" dxfId="2030" priority="96" stopIfTrue="1" operator="equal">
      <formula>#REF!</formula>
    </cfRule>
  </conditionalFormatting>
  <conditionalFormatting sqref="O56:P57">
    <cfRule type="cellIs" dxfId="2029" priority="95" stopIfTrue="1" operator="equal">
      <formula>#REF!</formula>
    </cfRule>
  </conditionalFormatting>
  <conditionalFormatting sqref="O55:P56 P57">
    <cfRule type="cellIs" dxfId="2028" priority="94" stopIfTrue="1" operator="equal">
      <formula>#REF!</formula>
    </cfRule>
  </conditionalFormatting>
  <conditionalFormatting sqref="O56:P57">
    <cfRule type="cellIs" dxfId="2027" priority="93" stopIfTrue="1" operator="equal">
      <formula>#REF!</formula>
    </cfRule>
  </conditionalFormatting>
  <conditionalFormatting sqref="P55">
    <cfRule type="cellIs" dxfId="2026" priority="92" stopIfTrue="1" operator="equal">
      <formula>#REF!</formula>
    </cfRule>
  </conditionalFormatting>
  <conditionalFormatting sqref="P55">
    <cfRule type="cellIs" dxfId="2025" priority="91" stopIfTrue="1" operator="equal">
      <formula>#REF!</formula>
    </cfRule>
  </conditionalFormatting>
  <conditionalFormatting sqref="P55:P57">
    <cfRule type="cellIs" dxfId="2024" priority="90" stopIfTrue="1" operator="equal">
      <formula>#REF!</formula>
    </cfRule>
  </conditionalFormatting>
  <conditionalFormatting sqref="P55:P57">
    <cfRule type="cellIs" dxfId="2023" priority="89" stopIfTrue="1" operator="equal">
      <formula>#REF!</formula>
    </cfRule>
  </conditionalFormatting>
  <conditionalFormatting sqref="P36:P37">
    <cfRule type="cellIs" dxfId="2022" priority="88" stopIfTrue="1" operator="equal">
      <formula>#REF!</formula>
    </cfRule>
  </conditionalFormatting>
  <conditionalFormatting sqref="P36:P37">
    <cfRule type="cellIs" dxfId="2021" priority="87" stopIfTrue="1" operator="equal">
      <formula>#REF!</formula>
    </cfRule>
  </conditionalFormatting>
  <conditionalFormatting sqref="O27:P27">
    <cfRule type="cellIs" dxfId="2020" priority="80" stopIfTrue="1" operator="equal">
      <formula>#REF!</formula>
    </cfRule>
  </conditionalFormatting>
  <conditionalFormatting sqref="O26:P26">
    <cfRule type="cellIs" dxfId="2019" priority="79" stopIfTrue="1" operator="equal">
      <formula>#REF!</formula>
    </cfRule>
  </conditionalFormatting>
  <conditionalFormatting sqref="O28:P28">
    <cfRule type="cellIs" dxfId="2018" priority="78" stopIfTrue="1" operator="equal">
      <formula>#REF!</formula>
    </cfRule>
  </conditionalFormatting>
  <conditionalFormatting sqref="O59">
    <cfRule type="cellIs" dxfId="2017" priority="77" stopIfTrue="1" operator="equal">
      <formula>#REF!</formula>
    </cfRule>
  </conditionalFormatting>
  <conditionalFormatting sqref="O59">
    <cfRule type="cellIs" dxfId="2016" priority="76" stopIfTrue="1" operator="equal">
      <formula>#REF!</formula>
    </cfRule>
  </conditionalFormatting>
  <conditionalFormatting sqref="O59">
    <cfRule type="cellIs" dxfId="2015" priority="74" stopIfTrue="1" operator="equal">
      <formula>#REF!</formula>
    </cfRule>
  </conditionalFormatting>
  <conditionalFormatting sqref="O60">
    <cfRule type="cellIs" dxfId="2014" priority="71" stopIfTrue="1" operator="equal">
      <formula>#REF!</formula>
    </cfRule>
  </conditionalFormatting>
  <conditionalFormatting sqref="O60">
    <cfRule type="cellIs" dxfId="2013" priority="70" stopIfTrue="1" operator="equal">
      <formula>#REF!</formula>
    </cfRule>
  </conditionalFormatting>
  <conditionalFormatting sqref="O60">
    <cfRule type="cellIs" dxfId="2012" priority="68" stopIfTrue="1" operator="equal">
      <formula>#REF!</formula>
    </cfRule>
  </conditionalFormatting>
  <conditionalFormatting sqref="O61">
    <cfRule type="cellIs" dxfId="2011" priority="65" stopIfTrue="1" operator="equal">
      <formula>#REF!</formula>
    </cfRule>
  </conditionalFormatting>
  <conditionalFormatting sqref="O61">
    <cfRule type="cellIs" dxfId="2010" priority="64" stopIfTrue="1" operator="equal">
      <formula>#REF!</formula>
    </cfRule>
  </conditionalFormatting>
  <conditionalFormatting sqref="O61">
    <cfRule type="cellIs" dxfId="2009" priority="62" stopIfTrue="1" operator="equal">
      <formula>#REF!</formula>
    </cfRule>
  </conditionalFormatting>
  <conditionalFormatting sqref="O62">
    <cfRule type="cellIs" dxfId="2008" priority="59" stopIfTrue="1" operator="equal">
      <formula>#REF!</formula>
    </cfRule>
  </conditionalFormatting>
  <conditionalFormatting sqref="O62">
    <cfRule type="cellIs" dxfId="2007" priority="58" stopIfTrue="1" operator="equal">
      <formula>#REF!</formula>
    </cfRule>
  </conditionalFormatting>
  <conditionalFormatting sqref="O62">
    <cfRule type="cellIs" dxfId="2006" priority="56" stopIfTrue="1" operator="equal">
      <formula>#REF!</formula>
    </cfRule>
  </conditionalFormatting>
  <conditionalFormatting sqref="O32:P33">
    <cfRule type="cellIs" dxfId="2005" priority="53" stopIfTrue="1" operator="equal">
      <formula>#REF!</formula>
    </cfRule>
  </conditionalFormatting>
  <conditionalFormatting sqref="O58:P58">
    <cfRule type="cellIs" dxfId="2004" priority="52" stopIfTrue="1" operator="equal">
      <formula>#REF!</formula>
    </cfRule>
  </conditionalFormatting>
  <conditionalFormatting sqref="O58:P58">
    <cfRule type="cellIs" dxfId="2003" priority="51" stopIfTrue="1" operator="equal">
      <formula>#REF!</formula>
    </cfRule>
  </conditionalFormatting>
  <conditionalFormatting sqref="P58">
    <cfRule type="cellIs" dxfId="2002" priority="50" stopIfTrue="1" operator="equal">
      <formula>#REF!</formula>
    </cfRule>
  </conditionalFormatting>
  <conditionalFormatting sqref="O58:P58">
    <cfRule type="cellIs" dxfId="2001" priority="49" stopIfTrue="1" operator="equal">
      <formula>#REF!</formula>
    </cfRule>
  </conditionalFormatting>
  <conditionalFormatting sqref="P58">
    <cfRule type="cellIs" dxfId="2000" priority="48" stopIfTrue="1" operator="equal">
      <formula>#REF!</formula>
    </cfRule>
  </conditionalFormatting>
  <conditionalFormatting sqref="P58">
    <cfRule type="cellIs" dxfId="1999" priority="47" stopIfTrue="1" operator="equal">
      <formula>#REF!</formula>
    </cfRule>
  </conditionalFormatting>
  <conditionalFormatting sqref="P38">
    <cfRule type="cellIs" dxfId="1998" priority="46" stopIfTrue="1" operator="equal">
      <formula>#REF!</formula>
    </cfRule>
  </conditionalFormatting>
  <conditionalFormatting sqref="P38">
    <cfRule type="cellIs" dxfId="1997" priority="45" stopIfTrue="1" operator="equal">
      <formula>#REF!</formula>
    </cfRule>
  </conditionalFormatting>
  <conditionalFormatting sqref="P59">
    <cfRule type="cellIs" dxfId="1996" priority="44" stopIfTrue="1" operator="equal">
      <formula>#REF!</formula>
    </cfRule>
  </conditionalFormatting>
  <conditionalFormatting sqref="P59">
    <cfRule type="cellIs" dxfId="1995" priority="43" stopIfTrue="1" operator="equal">
      <formula>#REF!</formula>
    </cfRule>
  </conditionalFormatting>
  <conditionalFormatting sqref="P59">
    <cfRule type="cellIs" dxfId="1994" priority="42" stopIfTrue="1" operator="equal">
      <formula>#REF!</formula>
    </cfRule>
  </conditionalFormatting>
  <conditionalFormatting sqref="P59">
    <cfRule type="cellIs" dxfId="1993" priority="41" stopIfTrue="1" operator="equal">
      <formula>#REF!</formula>
    </cfRule>
  </conditionalFormatting>
  <conditionalFormatting sqref="P59">
    <cfRule type="cellIs" dxfId="1992" priority="40" stopIfTrue="1" operator="equal">
      <formula>#REF!</formula>
    </cfRule>
  </conditionalFormatting>
  <conditionalFormatting sqref="P59">
    <cfRule type="cellIs" dxfId="1991" priority="39" stopIfTrue="1" operator="equal">
      <formula>#REF!</formula>
    </cfRule>
  </conditionalFormatting>
  <conditionalFormatting sqref="P60">
    <cfRule type="cellIs" dxfId="1990" priority="20" stopIfTrue="1" operator="equal">
      <formula>#REF!</formula>
    </cfRule>
  </conditionalFormatting>
  <conditionalFormatting sqref="P60">
    <cfRule type="cellIs" dxfId="1989" priority="19" stopIfTrue="1" operator="equal">
      <formula>#REF!</formula>
    </cfRule>
  </conditionalFormatting>
  <conditionalFormatting sqref="P60:P62">
    <cfRule type="cellIs" dxfId="1988" priority="18" stopIfTrue="1" operator="equal">
      <formula>#REF!</formula>
    </cfRule>
  </conditionalFormatting>
  <conditionalFormatting sqref="P60:P62">
    <cfRule type="cellIs" dxfId="1987" priority="17" stopIfTrue="1" operator="equal">
      <formula>#REF!</formula>
    </cfRule>
  </conditionalFormatting>
  <conditionalFormatting sqref="P60:P62">
    <cfRule type="cellIs" dxfId="1986" priority="16" stopIfTrue="1" operator="equal">
      <formula>#REF!</formula>
    </cfRule>
  </conditionalFormatting>
  <conditionalFormatting sqref="P60:P62">
    <cfRule type="cellIs" dxfId="1985" priority="15" stopIfTrue="1" operator="equal">
      <formula>#REF!</formula>
    </cfRule>
  </conditionalFormatting>
  <conditionalFormatting sqref="P61">
    <cfRule type="cellIs" dxfId="1984" priority="14" stopIfTrue="1" operator="equal">
      <formula>#REF!</formula>
    </cfRule>
  </conditionalFormatting>
  <conditionalFormatting sqref="P61">
    <cfRule type="cellIs" dxfId="1983" priority="13" stopIfTrue="1" operator="equal">
      <formula>#REF!</formula>
    </cfRule>
  </conditionalFormatting>
  <conditionalFormatting sqref="P61">
    <cfRule type="cellIs" dxfId="1982" priority="12" stopIfTrue="1" operator="equal">
      <formula>#REF!</formula>
    </cfRule>
  </conditionalFormatting>
  <conditionalFormatting sqref="P61">
    <cfRule type="cellIs" dxfId="1981" priority="11" stopIfTrue="1" operator="equal">
      <formula>#REF!</formula>
    </cfRule>
  </conditionalFormatting>
  <conditionalFormatting sqref="P61">
    <cfRule type="cellIs" dxfId="1980" priority="10" stopIfTrue="1" operator="equal">
      <formula>#REF!</formula>
    </cfRule>
  </conditionalFormatting>
  <conditionalFormatting sqref="P61">
    <cfRule type="cellIs" dxfId="1979" priority="9" stopIfTrue="1" operator="equal">
      <formula>#REF!</formula>
    </cfRule>
  </conditionalFormatting>
  <conditionalFormatting sqref="P62">
    <cfRule type="cellIs" dxfId="1978" priority="8" stopIfTrue="1" operator="equal">
      <formula>#REF!</formula>
    </cfRule>
  </conditionalFormatting>
  <conditionalFormatting sqref="P62">
    <cfRule type="cellIs" dxfId="1977" priority="7" stopIfTrue="1" operator="equal">
      <formula>#REF!</formula>
    </cfRule>
  </conditionalFormatting>
  <conditionalFormatting sqref="P62">
    <cfRule type="cellIs" dxfId="1976" priority="6" stopIfTrue="1" operator="equal">
      <formula>#REF!</formula>
    </cfRule>
  </conditionalFormatting>
  <conditionalFormatting sqref="P62">
    <cfRule type="cellIs" dxfId="1975" priority="5" stopIfTrue="1" operator="equal">
      <formula>#REF!</formula>
    </cfRule>
  </conditionalFormatting>
  <conditionalFormatting sqref="P62">
    <cfRule type="cellIs" dxfId="1974" priority="4" stopIfTrue="1" operator="equal">
      <formula>#REF!</formula>
    </cfRule>
  </conditionalFormatting>
  <conditionalFormatting sqref="P62">
    <cfRule type="cellIs" dxfId="1973" priority="3" stopIfTrue="1" operator="equal">
      <formula>#REF!</formula>
    </cfRule>
  </conditionalFormatting>
  <conditionalFormatting sqref="O29:P29">
    <cfRule type="cellIs" dxfId="1972" priority="2" stopIfTrue="1" operator="equal">
      <formula>#REF!</formula>
    </cfRule>
  </conditionalFormatting>
  <conditionalFormatting sqref="O30:P30">
    <cfRule type="cellIs" dxfId="1971" priority="1" stopIfTrue="1" operator="equal">
      <formula>#REF!</formula>
    </cfRule>
  </conditionalFormatting>
  <dataValidations count="5">
    <dataValidation type="list" allowBlank="1" showInputMessage="1" showErrorMessage="1" sqref="D8:D62">
      <formula1>Priorité</formula1>
    </dataValidation>
    <dataValidation type="list" allowBlank="1" showInputMessage="1" showErrorMessage="1" sqref="M8:M62">
      <formula1>Conformité</formula1>
    </dataValidation>
    <dataValidation type="list" allowBlank="1" showInputMessage="1" showErrorMessage="1" sqref="I8:I62">
      <formula1>Etat</formula1>
    </dataValidation>
    <dataValidation type="list" allowBlank="1" showInputMessage="1" showErrorMessage="1" sqref="G8:G62">
      <formula1>"1,2,3"</formula1>
    </dataValidation>
    <dataValidation type="list" allowBlank="1" showInputMessage="1" showErrorMessage="1" sqref="H8:H62">
      <formula1>"complexe,normale,simple"</formula1>
    </dataValidation>
  </dataValidations>
  <printOptions horizontalCentered="1" verticalCentered="1"/>
  <pageMargins left="0" right="0" top="0.35433070866141736" bottom="0.39370078740157483" header="0.31496062992125984" footer="0.15748031496062992"/>
  <pageSetup paperSize="9" scale="62" orientation="landscape" verticalDpi="300"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fonctionnelle1">
    <tabColor indexed="13"/>
    <pageSetUpPr fitToPage="1"/>
  </sheetPr>
  <dimension ref="A1:T45"/>
  <sheetViews>
    <sheetView showGridLines="0" topLeftCell="A21" zoomScaleNormal="100" workbookViewId="0">
      <selection activeCell="C32" sqref="C32"/>
    </sheetView>
  </sheetViews>
  <sheetFormatPr baseColWidth="10" defaultRowHeight="12.75" x14ac:dyDescent="0.2"/>
  <cols>
    <col min="1" max="1" width="4.85546875" style="143" customWidth="1"/>
    <col min="2" max="2" width="33.42578125" style="135" customWidth="1"/>
    <col min="3" max="3" width="88.85546875" style="135" customWidth="1"/>
    <col min="4" max="4" width="13" style="135" customWidth="1"/>
    <col min="5" max="5" width="15.42578125" style="135" customWidth="1"/>
    <col min="6" max="6" width="9.28515625" style="135" customWidth="1"/>
    <col min="7" max="7" width="9" style="135" customWidth="1"/>
    <col min="8" max="8" width="10.28515625" style="135" hidden="1" customWidth="1"/>
    <col min="9" max="9" width="12.85546875" style="136" customWidth="1"/>
    <col min="10" max="10" width="9.28515625" style="136" hidden="1" customWidth="1"/>
    <col min="11" max="11" width="11.28515625" style="136" hidden="1" customWidth="1"/>
    <col min="12" max="12" width="15.28515625" style="136" hidden="1" customWidth="1"/>
    <col min="13" max="13" width="17.28515625" style="136" hidden="1" customWidth="1"/>
    <col min="14" max="14" width="17.7109375" style="136" hidden="1" customWidth="1"/>
    <col min="15" max="15" width="10.7109375" style="136" hidden="1" customWidth="1"/>
    <col min="16" max="16" width="16.5703125" style="135" customWidth="1"/>
    <col min="17" max="17" width="59.28515625" style="135" customWidth="1"/>
    <col min="18" max="18" width="14.28515625" bestFit="1" customWidth="1"/>
    <col min="20" max="20" width="9.42578125" bestFit="1" customWidth="1"/>
    <col min="21" max="21" width="12" bestFit="1" customWidth="1"/>
    <col min="22" max="22" width="7" customWidth="1"/>
    <col min="23" max="23" width="9" bestFit="1" customWidth="1"/>
  </cols>
  <sheetData>
    <row r="1" spans="1:20" x14ac:dyDescent="0.2">
      <c r="B1" s="148" t="s">
        <v>40</v>
      </c>
      <c r="C1" s="109" t="s">
        <v>65</v>
      </c>
      <c r="D1" s="109"/>
      <c r="E1" s="109"/>
      <c r="F1" s="109" t="s">
        <v>65</v>
      </c>
      <c r="G1" s="109"/>
      <c r="H1" s="109"/>
      <c r="I1" s="109"/>
      <c r="J1" s="109"/>
      <c r="K1" s="109"/>
      <c r="L1" s="109"/>
      <c r="M1" s="109"/>
      <c r="N1" s="109"/>
      <c r="O1" s="109"/>
      <c r="P1" s="109"/>
      <c r="Q1" s="109"/>
      <c r="R1" s="109"/>
      <c r="S1" s="109"/>
      <c r="T1" s="109"/>
    </row>
    <row r="2" spans="1:20" ht="12.75" customHeight="1" x14ac:dyDescent="0.2">
      <c r="B2" s="260" t="s">
        <v>103</v>
      </c>
      <c r="C2" s="260"/>
      <c r="D2" s="260"/>
      <c r="E2" s="260"/>
      <c r="F2" s="260"/>
      <c r="G2" s="260"/>
      <c r="H2" s="260"/>
      <c r="I2" s="260"/>
      <c r="J2" s="260"/>
      <c r="K2" s="260"/>
      <c r="L2" s="260"/>
      <c r="M2" s="260"/>
      <c r="N2" s="260"/>
      <c r="O2" s="260"/>
      <c r="P2" s="260"/>
      <c r="Q2" s="260"/>
      <c r="R2" s="260"/>
    </row>
    <row r="3" spans="1:20" x14ac:dyDescent="0.2">
      <c r="B3" s="258" t="s">
        <v>42</v>
      </c>
      <c r="C3" s="258"/>
      <c r="D3" s="258"/>
      <c r="E3" s="258"/>
      <c r="F3" s="258"/>
      <c r="G3" s="258"/>
      <c r="H3" s="258"/>
      <c r="I3" s="258"/>
      <c r="J3" s="258"/>
      <c r="K3" s="258"/>
      <c r="L3" s="258"/>
      <c r="M3" s="149"/>
      <c r="N3" s="149"/>
      <c r="O3" s="149"/>
      <c r="P3" s="147"/>
      <c r="Q3" s="147"/>
      <c r="R3" s="13"/>
    </row>
    <row r="4" spans="1:20" ht="13.5" thickBot="1" x14ac:dyDescent="0.25">
      <c r="B4" s="134"/>
      <c r="C4" s="134"/>
      <c r="D4" s="134"/>
      <c r="E4" s="134"/>
      <c r="F4" s="134"/>
      <c r="G4" s="134"/>
      <c r="H4" s="134"/>
      <c r="I4" s="134"/>
      <c r="J4" s="134"/>
      <c r="K4" s="134"/>
      <c r="L4" s="134"/>
      <c r="M4" s="134"/>
      <c r="N4" s="134"/>
      <c r="O4" s="134"/>
      <c r="P4" s="134"/>
      <c r="Q4" s="134"/>
    </row>
    <row r="5" spans="1:20" s="87" customFormat="1" ht="11.25" x14ac:dyDescent="0.2">
      <c r="A5" s="144"/>
      <c r="B5" s="88" t="s">
        <v>95</v>
      </c>
      <c r="C5" s="89" t="s">
        <v>96</v>
      </c>
      <c r="D5" s="89" t="s">
        <v>97</v>
      </c>
      <c r="E5" s="89"/>
      <c r="F5" s="89"/>
      <c r="G5" s="89"/>
      <c r="H5" s="89"/>
      <c r="I5" s="89"/>
      <c r="J5" s="90"/>
      <c r="K5" s="90"/>
      <c r="L5" s="90"/>
      <c r="M5" s="90"/>
      <c r="N5" s="90"/>
      <c r="O5" s="95"/>
      <c r="P5" s="95"/>
      <c r="Q5" s="96"/>
    </row>
    <row r="6" spans="1:20" s="87" customFormat="1" ht="12" thickBot="1" x14ac:dyDescent="0.25">
      <c r="A6" s="144"/>
      <c r="B6" s="91">
        <f>COUNTA(B8:B912)</f>
        <v>38</v>
      </c>
      <c r="C6" s="92">
        <f>SUBTOTAL(3,B8:B912)</f>
        <v>38</v>
      </c>
      <c r="D6" s="93">
        <f>IF(C6=0,0,$C$6/$B$6)</f>
        <v>1</v>
      </c>
      <c r="E6" s="93"/>
      <c r="F6" s="93"/>
      <c r="G6" s="92"/>
      <c r="H6" s="92"/>
      <c r="I6" s="92"/>
      <c r="J6" s="94"/>
      <c r="K6" s="94"/>
      <c r="L6" s="94"/>
      <c r="M6" s="99"/>
      <c r="N6" s="99"/>
      <c r="P6" s="98"/>
      <c r="Q6" s="97"/>
    </row>
    <row r="7" spans="1:20" ht="42.75" customHeight="1" thickBot="1" x14ac:dyDescent="0.25">
      <c r="B7" s="117" t="s">
        <v>14</v>
      </c>
      <c r="C7" s="12" t="s">
        <v>13</v>
      </c>
      <c r="D7" s="12" t="s">
        <v>129</v>
      </c>
      <c r="E7" s="12" t="s">
        <v>113</v>
      </c>
      <c r="F7" s="12" t="s">
        <v>102</v>
      </c>
      <c r="G7" s="12" t="s">
        <v>131</v>
      </c>
      <c r="H7" s="12" t="s">
        <v>130</v>
      </c>
      <c r="I7" s="12" t="s">
        <v>111</v>
      </c>
      <c r="J7" s="12" t="s">
        <v>15</v>
      </c>
      <c r="K7" s="12" t="s">
        <v>30</v>
      </c>
      <c r="L7" s="12" t="s">
        <v>123</v>
      </c>
      <c r="M7" s="12" t="s">
        <v>75</v>
      </c>
      <c r="N7" s="12" t="s">
        <v>76</v>
      </c>
      <c r="O7" s="12" t="s">
        <v>133</v>
      </c>
      <c r="P7" s="12" t="s">
        <v>67</v>
      </c>
      <c r="Q7" s="37" t="s">
        <v>132</v>
      </c>
    </row>
    <row r="8" spans="1:20" ht="25.5" x14ac:dyDescent="0.2">
      <c r="A8" s="143">
        <v>1</v>
      </c>
      <c r="B8" s="150" t="s">
        <v>318</v>
      </c>
      <c r="C8" s="151" t="s">
        <v>193</v>
      </c>
      <c r="D8" s="128" t="s">
        <v>16</v>
      </c>
      <c r="E8" s="128"/>
      <c r="F8" s="128" t="s">
        <v>238</v>
      </c>
      <c r="G8" s="128">
        <v>1</v>
      </c>
      <c r="H8" s="128"/>
      <c r="I8" s="129" t="s">
        <v>19</v>
      </c>
      <c r="J8" s="152"/>
      <c r="K8" s="160"/>
      <c r="L8" s="161"/>
      <c r="M8" s="162"/>
      <c r="N8" s="161"/>
      <c r="O8" s="163"/>
      <c r="P8" s="131" t="s">
        <v>368</v>
      </c>
      <c r="Q8" s="165"/>
    </row>
    <row r="9" spans="1:20" ht="25.5" x14ac:dyDescent="0.2">
      <c r="A9" s="143">
        <f>A8+1</f>
        <v>2</v>
      </c>
      <c r="B9" s="150" t="s">
        <v>319</v>
      </c>
      <c r="C9" s="151" t="s">
        <v>188</v>
      </c>
      <c r="D9" s="128" t="s">
        <v>16</v>
      </c>
      <c r="E9" s="128"/>
      <c r="F9" s="128" t="s">
        <v>238</v>
      </c>
      <c r="G9" s="128">
        <v>1</v>
      </c>
      <c r="H9" s="128"/>
      <c r="I9" s="129" t="s">
        <v>19</v>
      </c>
      <c r="J9" s="152"/>
      <c r="K9" s="160"/>
      <c r="L9" s="161"/>
      <c r="M9" s="162"/>
      <c r="N9" s="161"/>
      <c r="O9" s="163"/>
      <c r="P9" s="131" t="s">
        <v>368</v>
      </c>
      <c r="Q9" s="164" t="s">
        <v>195</v>
      </c>
    </row>
    <row r="10" spans="1:20" ht="25.5" x14ac:dyDescent="0.2">
      <c r="A10" s="143">
        <f t="shared" ref="A10:A45" si="0">A9+1</f>
        <v>3</v>
      </c>
      <c r="B10" s="150" t="s">
        <v>320</v>
      </c>
      <c r="C10" s="151" t="s">
        <v>791</v>
      </c>
      <c r="D10" s="128" t="s">
        <v>16</v>
      </c>
      <c r="E10" s="128"/>
      <c r="F10" s="128" t="s">
        <v>238</v>
      </c>
      <c r="G10" s="128">
        <v>1</v>
      </c>
      <c r="H10" s="128"/>
      <c r="I10" s="129" t="s">
        <v>19</v>
      </c>
      <c r="J10" s="152"/>
      <c r="K10" s="160"/>
      <c r="L10" s="161"/>
      <c r="M10" s="162"/>
      <c r="N10" s="161"/>
      <c r="O10" s="163"/>
      <c r="P10" s="130" t="s">
        <v>378</v>
      </c>
      <c r="Q10" s="165"/>
    </row>
    <row r="11" spans="1:20" ht="25.5" x14ac:dyDescent="0.2">
      <c r="A11" s="143">
        <f>A10+1</f>
        <v>4</v>
      </c>
      <c r="B11" s="150" t="s">
        <v>321</v>
      </c>
      <c r="C11" s="151" t="s">
        <v>792</v>
      </c>
      <c r="D11" s="128" t="s">
        <v>16</v>
      </c>
      <c r="E11" s="128"/>
      <c r="F11" s="128" t="s">
        <v>238</v>
      </c>
      <c r="G11" s="128">
        <v>1</v>
      </c>
      <c r="H11" s="128"/>
      <c r="I11" s="129" t="s">
        <v>19</v>
      </c>
      <c r="J11" s="152"/>
      <c r="K11" s="160"/>
      <c r="L11" s="161"/>
      <c r="M11" s="162"/>
      <c r="N11" s="161"/>
      <c r="O11" s="163"/>
      <c r="P11" s="131" t="s">
        <v>370</v>
      </c>
      <c r="Q11" s="165"/>
    </row>
    <row r="12" spans="1:20" ht="25.5" x14ac:dyDescent="0.2">
      <c r="A12" s="143">
        <f>A11+1</f>
        <v>5</v>
      </c>
      <c r="B12" s="150" t="s">
        <v>322</v>
      </c>
      <c r="C12" s="151" t="s">
        <v>194</v>
      </c>
      <c r="D12" s="128" t="s">
        <v>16</v>
      </c>
      <c r="E12" s="128"/>
      <c r="F12" s="128" t="s">
        <v>238</v>
      </c>
      <c r="G12" s="128">
        <v>1</v>
      </c>
      <c r="H12" s="128"/>
      <c r="I12" s="129" t="s">
        <v>19</v>
      </c>
      <c r="J12" s="152"/>
      <c r="K12" s="160"/>
      <c r="L12" s="161"/>
      <c r="M12" s="162"/>
      <c r="N12" s="161"/>
      <c r="O12" s="163"/>
      <c r="P12" s="131" t="s">
        <v>370</v>
      </c>
      <c r="Q12" s="166" t="s">
        <v>196</v>
      </c>
    </row>
    <row r="13" spans="1:20" x14ac:dyDescent="0.2">
      <c r="A13" s="143">
        <f t="shared" si="0"/>
        <v>6</v>
      </c>
      <c r="B13" s="150" t="s">
        <v>323</v>
      </c>
      <c r="C13" s="151" t="s">
        <v>383</v>
      </c>
      <c r="D13" s="128" t="s">
        <v>16</v>
      </c>
      <c r="E13" s="128"/>
      <c r="F13" s="128" t="s">
        <v>238</v>
      </c>
      <c r="G13" s="128">
        <v>1</v>
      </c>
      <c r="H13" s="128"/>
      <c r="I13" s="129" t="s">
        <v>19</v>
      </c>
      <c r="J13" s="152"/>
      <c r="K13" s="160"/>
      <c r="L13" s="161"/>
      <c r="M13" s="162"/>
      <c r="N13" s="161"/>
      <c r="O13" s="163"/>
      <c r="P13" s="131" t="s">
        <v>370</v>
      </c>
      <c r="Q13" s="165"/>
    </row>
    <row r="14" spans="1:20" ht="38.25" x14ac:dyDescent="0.2">
      <c r="A14" s="143">
        <f t="shared" si="0"/>
        <v>7</v>
      </c>
      <c r="B14" s="150" t="s">
        <v>324</v>
      </c>
      <c r="C14" s="151" t="s">
        <v>793</v>
      </c>
      <c r="D14" s="128" t="s">
        <v>16</v>
      </c>
      <c r="E14" s="128"/>
      <c r="F14" s="128" t="s">
        <v>238</v>
      </c>
      <c r="G14" s="128">
        <v>1</v>
      </c>
      <c r="H14" s="128"/>
      <c r="I14" s="129" t="s">
        <v>19</v>
      </c>
      <c r="J14" s="152"/>
      <c r="K14" s="160"/>
      <c r="L14" s="161"/>
      <c r="M14" s="162"/>
      <c r="N14" s="161"/>
      <c r="O14" s="163"/>
      <c r="P14" s="131" t="s">
        <v>370</v>
      </c>
      <c r="Q14" s="165"/>
    </row>
    <row r="15" spans="1:20" ht="25.5" x14ac:dyDescent="0.2">
      <c r="A15" s="143">
        <f t="shared" si="0"/>
        <v>8</v>
      </c>
      <c r="B15" s="150" t="s">
        <v>325</v>
      </c>
      <c r="C15" s="151" t="s">
        <v>207</v>
      </c>
      <c r="D15" s="128" t="s">
        <v>16</v>
      </c>
      <c r="E15" s="128"/>
      <c r="F15" s="128" t="s">
        <v>238</v>
      </c>
      <c r="G15" s="128">
        <v>1</v>
      </c>
      <c r="H15" s="128"/>
      <c r="I15" s="129" t="s">
        <v>19</v>
      </c>
      <c r="J15" s="152"/>
      <c r="K15" s="160"/>
      <c r="L15" s="161"/>
      <c r="M15" s="162"/>
      <c r="N15" s="161"/>
      <c r="O15" s="163"/>
      <c r="P15" s="131" t="s">
        <v>259</v>
      </c>
      <c r="Q15" s="166" t="s">
        <v>197</v>
      </c>
    </row>
    <row r="16" spans="1:20" ht="25.5" x14ac:dyDescent="0.2">
      <c r="A16" s="143">
        <f t="shared" si="0"/>
        <v>9</v>
      </c>
      <c r="B16" s="150" t="s">
        <v>326</v>
      </c>
      <c r="C16" s="151" t="s">
        <v>208</v>
      </c>
      <c r="D16" s="128" t="s">
        <v>16</v>
      </c>
      <c r="E16" s="128"/>
      <c r="F16" s="128" t="s">
        <v>238</v>
      </c>
      <c r="G16" s="128">
        <v>1</v>
      </c>
      <c r="H16" s="128"/>
      <c r="I16" s="129" t="s">
        <v>19</v>
      </c>
      <c r="J16" s="154"/>
      <c r="K16" s="168"/>
      <c r="L16" s="169"/>
      <c r="M16" s="170"/>
      <c r="N16" s="169"/>
      <c r="O16" s="171"/>
      <c r="P16" s="131" t="s">
        <v>259</v>
      </c>
      <c r="Q16" s="167"/>
    </row>
    <row r="17" spans="1:17" ht="51" x14ac:dyDescent="0.2">
      <c r="A17" s="250">
        <f t="shared" si="0"/>
        <v>10</v>
      </c>
      <c r="B17" s="251" t="s">
        <v>182</v>
      </c>
      <c r="C17" s="151" t="s">
        <v>1007</v>
      </c>
      <c r="D17" s="128" t="s">
        <v>16</v>
      </c>
      <c r="E17" s="128"/>
      <c r="F17" s="128" t="s">
        <v>914</v>
      </c>
      <c r="G17" s="128">
        <v>1</v>
      </c>
      <c r="H17" s="128"/>
      <c r="I17" s="129" t="s">
        <v>900</v>
      </c>
      <c r="J17" s="155"/>
      <c r="K17" s="155"/>
      <c r="L17" s="156"/>
      <c r="M17" s="157"/>
      <c r="N17" s="156"/>
      <c r="O17" s="158"/>
      <c r="P17" s="131" t="s">
        <v>259</v>
      </c>
      <c r="Q17" s="252" t="s">
        <v>1008</v>
      </c>
    </row>
    <row r="18" spans="1:17" x14ac:dyDescent="0.2">
      <c r="A18" s="143">
        <f t="shared" si="0"/>
        <v>11</v>
      </c>
      <c r="B18" s="150" t="s">
        <v>183</v>
      </c>
      <c r="C18" s="151" t="s">
        <v>181</v>
      </c>
      <c r="D18" s="128" t="s">
        <v>16</v>
      </c>
      <c r="E18" s="128"/>
      <c r="F18" s="128" t="s">
        <v>238</v>
      </c>
      <c r="G18" s="128">
        <v>1</v>
      </c>
      <c r="H18" s="128"/>
      <c r="I18" s="129" t="s">
        <v>19</v>
      </c>
      <c r="J18" s="152"/>
      <c r="K18" s="160"/>
      <c r="L18" s="161"/>
      <c r="M18" s="162"/>
      <c r="N18" s="161"/>
      <c r="O18" s="163"/>
      <c r="P18" s="131" t="s">
        <v>370</v>
      </c>
      <c r="Q18" s="167"/>
    </row>
    <row r="19" spans="1:17" ht="102" x14ac:dyDescent="0.2">
      <c r="A19" s="143">
        <f t="shared" si="0"/>
        <v>12</v>
      </c>
      <c r="B19" s="150" t="s">
        <v>184</v>
      </c>
      <c r="C19" s="151" t="s">
        <v>209</v>
      </c>
      <c r="D19" s="128" t="s">
        <v>16</v>
      </c>
      <c r="E19" s="128"/>
      <c r="F19" s="128" t="s">
        <v>238</v>
      </c>
      <c r="G19" s="128">
        <v>1</v>
      </c>
      <c r="H19" s="128"/>
      <c r="I19" s="129" t="s">
        <v>19</v>
      </c>
      <c r="J19" s="152"/>
      <c r="K19" s="160"/>
      <c r="L19" s="161"/>
      <c r="M19" s="162"/>
      <c r="N19" s="161"/>
      <c r="O19" s="163"/>
      <c r="P19" s="131" t="s">
        <v>259</v>
      </c>
      <c r="Q19" s="164" t="s">
        <v>693</v>
      </c>
    </row>
    <row r="20" spans="1:17" ht="38.25" x14ac:dyDescent="0.2">
      <c r="A20" s="143">
        <f t="shared" si="0"/>
        <v>13</v>
      </c>
      <c r="B20" s="150" t="s">
        <v>185</v>
      </c>
      <c r="C20" s="151" t="s">
        <v>815</v>
      </c>
      <c r="D20" s="128" t="s">
        <v>16</v>
      </c>
      <c r="E20" s="128"/>
      <c r="F20" s="128" t="s">
        <v>238</v>
      </c>
      <c r="G20" s="128">
        <v>1</v>
      </c>
      <c r="H20" s="128"/>
      <c r="I20" s="129" t="s">
        <v>19</v>
      </c>
      <c r="J20" s="152"/>
      <c r="K20" s="160"/>
      <c r="L20" s="161"/>
      <c r="M20" s="162"/>
      <c r="N20" s="161"/>
      <c r="O20" s="163"/>
      <c r="P20" s="131" t="s">
        <v>370</v>
      </c>
      <c r="Q20" s="166" t="s">
        <v>197</v>
      </c>
    </row>
    <row r="21" spans="1:17" ht="38.25" x14ac:dyDescent="0.2">
      <c r="A21" s="143">
        <f t="shared" si="0"/>
        <v>14</v>
      </c>
      <c r="B21" s="150" t="s">
        <v>187</v>
      </c>
      <c r="C21" s="151" t="s">
        <v>672</v>
      </c>
      <c r="D21" s="128" t="s">
        <v>16</v>
      </c>
      <c r="E21" s="128"/>
      <c r="F21" s="128" t="s">
        <v>238</v>
      </c>
      <c r="G21" s="128">
        <v>1</v>
      </c>
      <c r="H21" s="128"/>
      <c r="I21" s="129" t="s">
        <v>19</v>
      </c>
      <c r="J21" s="154"/>
      <c r="K21" s="168"/>
      <c r="L21" s="169"/>
      <c r="M21" s="170"/>
      <c r="N21" s="169"/>
      <c r="O21" s="171"/>
      <c r="P21" s="131" t="s">
        <v>370</v>
      </c>
      <c r="Q21" s="167" t="s">
        <v>198</v>
      </c>
    </row>
    <row r="22" spans="1:17" ht="38.25" x14ac:dyDescent="0.2">
      <c r="A22" s="143">
        <f t="shared" si="0"/>
        <v>15</v>
      </c>
      <c r="B22" s="150" t="s">
        <v>189</v>
      </c>
      <c r="C22" s="151" t="s">
        <v>199</v>
      </c>
      <c r="D22" s="128" t="s">
        <v>16</v>
      </c>
      <c r="E22" s="128"/>
      <c r="F22" s="128" t="s">
        <v>238</v>
      </c>
      <c r="G22" s="128">
        <v>1</v>
      </c>
      <c r="H22" s="128"/>
      <c r="I22" s="129" t="s">
        <v>19</v>
      </c>
      <c r="J22" s="152"/>
      <c r="K22" s="160"/>
      <c r="L22" s="161"/>
      <c r="M22" s="162"/>
      <c r="N22" s="161"/>
      <c r="O22" s="163"/>
      <c r="P22" s="131" t="s">
        <v>370</v>
      </c>
      <c r="Q22" s="166" t="s">
        <v>200</v>
      </c>
    </row>
    <row r="23" spans="1:17" ht="38.25" x14ac:dyDescent="0.2">
      <c r="A23" s="143">
        <f t="shared" si="0"/>
        <v>16</v>
      </c>
      <c r="B23" s="150" t="s">
        <v>190</v>
      </c>
      <c r="C23" s="151" t="s">
        <v>689</v>
      </c>
      <c r="D23" s="128" t="s">
        <v>16</v>
      </c>
      <c r="E23" s="128"/>
      <c r="F23" s="128" t="s">
        <v>238</v>
      </c>
      <c r="G23" s="128">
        <v>1</v>
      </c>
      <c r="H23" s="128"/>
      <c r="I23" s="129" t="s">
        <v>19</v>
      </c>
      <c r="J23" s="152"/>
      <c r="K23" s="160"/>
      <c r="L23" s="161"/>
      <c r="M23" s="162"/>
      <c r="N23" s="161"/>
      <c r="O23" s="163"/>
      <c r="P23" s="131" t="s">
        <v>370</v>
      </c>
      <c r="Q23" s="166" t="s">
        <v>201</v>
      </c>
    </row>
    <row r="24" spans="1:17" x14ac:dyDescent="0.2">
      <c r="A24" s="143">
        <f t="shared" si="0"/>
        <v>17</v>
      </c>
      <c r="B24" s="150" t="s">
        <v>191</v>
      </c>
      <c r="C24" s="151" t="s">
        <v>192</v>
      </c>
      <c r="D24" s="128" t="s">
        <v>16</v>
      </c>
      <c r="E24" s="128"/>
      <c r="F24" s="128" t="s">
        <v>238</v>
      </c>
      <c r="G24" s="128">
        <v>1</v>
      </c>
      <c r="H24" s="128"/>
      <c r="I24" s="129" t="s">
        <v>19</v>
      </c>
      <c r="J24" s="152"/>
      <c r="K24" s="160"/>
      <c r="L24" s="161"/>
      <c r="M24" s="162"/>
      <c r="N24" s="161"/>
      <c r="O24" s="163"/>
      <c r="P24" s="131" t="s">
        <v>370</v>
      </c>
      <c r="Q24" s="165"/>
    </row>
    <row r="25" spans="1:17" ht="25.5" x14ac:dyDescent="0.2">
      <c r="A25" s="143">
        <f t="shared" si="0"/>
        <v>18</v>
      </c>
      <c r="B25" s="150" t="s">
        <v>206</v>
      </c>
      <c r="C25" s="151" t="s">
        <v>816</v>
      </c>
      <c r="D25" s="128" t="s">
        <v>16</v>
      </c>
      <c r="E25" s="128"/>
      <c r="F25" s="128" t="s">
        <v>238</v>
      </c>
      <c r="G25" s="128">
        <v>1</v>
      </c>
      <c r="H25" s="128"/>
      <c r="I25" s="129" t="s">
        <v>19</v>
      </c>
      <c r="J25" s="152"/>
      <c r="K25" s="160"/>
      <c r="L25" s="161"/>
      <c r="M25" s="162"/>
      <c r="N25" s="161"/>
      <c r="O25" s="163"/>
      <c r="P25" s="131" t="s">
        <v>370</v>
      </c>
      <c r="Q25" s="165"/>
    </row>
    <row r="26" spans="1:17" ht="25.5" x14ac:dyDescent="0.2">
      <c r="A26" s="143">
        <f t="shared" si="0"/>
        <v>19</v>
      </c>
      <c r="B26" s="150" t="s">
        <v>210</v>
      </c>
      <c r="C26" s="151" t="s">
        <v>175</v>
      </c>
      <c r="D26" s="128" t="s">
        <v>16</v>
      </c>
      <c r="E26" s="128"/>
      <c r="F26" s="128" t="s">
        <v>238</v>
      </c>
      <c r="G26" s="128">
        <v>1</v>
      </c>
      <c r="H26" s="128"/>
      <c r="I26" s="129" t="s">
        <v>19</v>
      </c>
      <c r="J26" s="152"/>
      <c r="K26" s="160"/>
      <c r="L26" s="161"/>
      <c r="M26" s="162"/>
      <c r="N26" s="161"/>
      <c r="O26" s="163"/>
      <c r="P26" s="131" t="s">
        <v>259</v>
      </c>
      <c r="Q26" s="165"/>
    </row>
    <row r="27" spans="1:17" ht="25.5" x14ac:dyDescent="0.2">
      <c r="A27" s="143">
        <f t="shared" si="0"/>
        <v>20</v>
      </c>
      <c r="B27" s="150" t="s">
        <v>796</v>
      </c>
      <c r="C27" s="151" t="s">
        <v>798</v>
      </c>
      <c r="D27" s="128" t="s">
        <v>16</v>
      </c>
      <c r="E27" s="128"/>
      <c r="F27" s="128" t="s">
        <v>238</v>
      </c>
      <c r="G27" s="128">
        <v>1</v>
      </c>
      <c r="H27" s="128"/>
      <c r="I27" s="129" t="s">
        <v>19</v>
      </c>
      <c r="J27" s="152"/>
      <c r="K27" s="160"/>
      <c r="L27" s="161"/>
      <c r="M27" s="162"/>
      <c r="N27" s="161"/>
      <c r="O27" s="163"/>
      <c r="P27" s="130" t="s">
        <v>903</v>
      </c>
      <c r="Q27" s="165" t="s">
        <v>629</v>
      </c>
    </row>
    <row r="28" spans="1:17" ht="25.5" x14ac:dyDescent="0.2">
      <c r="A28" s="143">
        <f t="shared" si="0"/>
        <v>21</v>
      </c>
      <c r="B28" s="150" t="s">
        <v>797</v>
      </c>
      <c r="C28" s="151" t="s">
        <v>1009</v>
      </c>
      <c r="D28" s="128" t="s">
        <v>16</v>
      </c>
      <c r="E28" s="128"/>
      <c r="F28" s="128" t="s">
        <v>238</v>
      </c>
      <c r="G28" s="128">
        <v>1</v>
      </c>
      <c r="H28" s="128"/>
      <c r="I28" s="129" t="s">
        <v>19</v>
      </c>
      <c r="J28" s="152"/>
      <c r="K28" s="160"/>
      <c r="L28" s="161"/>
      <c r="M28" s="162"/>
      <c r="N28" s="161"/>
      <c r="O28" s="163"/>
      <c r="P28" s="130" t="s">
        <v>903</v>
      </c>
      <c r="Q28" s="164" t="s">
        <v>799</v>
      </c>
    </row>
    <row r="29" spans="1:17" x14ac:dyDescent="0.2">
      <c r="A29" s="143">
        <f t="shared" si="0"/>
        <v>22</v>
      </c>
      <c r="B29" s="150" t="s">
        <v>1002</v>
      </c>
      <c r="C29" s="151" t="s">
        <v>1003</v>
      </c>
      <c r="D29" s="128" t="s">
        <v>16</v>
      </c>
      <c r="E29" s="128"/>
      <c r="F29" s="128" t="s">
        <v>914</v>
      </c>
      <c r="G29" s="128">
        <v>1</v>
      </c>
      <c r="H29" s="128"/>
      <c r="I29" s="129" t="s">
        <v>900</v>
      </c>
      <c r="J29" s="152"/>
      <c r="K29" s="160"/>
      <c r="L29" s="161"/>
      <c r="M29" s="162"/>
      <c r="N29" s="161"/>
      <c r="O29" s="163"/>
      <c r="P29" s="131" t="s">
        <v>259</v>
      </c>
      <c r="Q29" s="164" t="s">
        <v>1004</v>
      </c>
    </row>
    <row r="30" spans="1:17" ht="25.5" x14ac:dyDescent="0.2">
      <c r="A30" s="143">
        <f t="shared" si="0"/>
        <v>23</v>
      </c>
      <c r="B30" s="159" t="s">
        <v>327</v>
      </c>
      <c r="C30" s="151" t="s">
        <v>761</v>
      </c>
      <c r="D30" s="128" t="s">
        <v>16</v>
      </c>
      <c r="E30" s="128"/>
      <c r="F30" s="128" t="s">
        <v>238</v>
      </c>
      <c r="G30" s="128">
        <v>1</v>
      </c>
      <c r="H30" s="128"/>
      <c r="I30" s="129" t="s">
        <v>19</v>
      </c>
      <c r="J30" s="152"/>
      <c r="K30" s="160"/>
      <c r="L30" s="161"/>
      <c r="M30" s="162"/>
      <c r="N30" s="161"/>
      <c r="O30" s="163"/>
      <c r="P30" s="131" t="s">
        <v>259</v>
      </c>
      <c r="Q30" s="166" t="s">
        <v>202</v>
      </c>
    </row>
    <row r="31" spans="1:17" ht="25.5" x14ac:dyDescent="0.2">
      <c r="A31" s="143">
        <f t="shared" si="0"/>
        <v>24</v>
      </c>
      <c r="B31" s="159" t="s">
        <v>328</v>
      </c>
      <c r="C31" s="151" t="s">
        <v>186</v>
      </c>
      <c r="D31" s="128" t="s">
        <v>16</v>
      </c>
      <c r="E31" s="128"/>
      <c r="F31" s="128" t="s">
        <v>238</v>
      </c>
      <c r="G31" s="128">
        <v>1</v>
      </c>
      <c r="H31" s="128"/>
      <c r="I31" s="129" t="s">
        <v>19</v>
      </c>
      <c r="J31" s="152"/>
      <c r="K31" s="160"/>
      <c r="L31" s="161"/>
      <c r="M31" s="162"/>
      <c r="N31" s="161"/>
      <c r="O31" s="163"/>
      <c r="P31" s="131" t="s">
        <v>259</v>
      </c>
      <c r="Q31" s="166" t="s">
        <v>201</v>
      </c>
    </row>
    <row r="32" spans="1:17" ht="51" x14ac:dyDescent="0.2">
      <c r="A32" s="143">
        <f t="shared" si="0"/>
        <v>25</v>
      </c>
      <c r="B32" s="159" t="s">
        <v>329</v>
      </c>
      <c r="C32" s="151" t="s">
        <v>938</v>
      </c>
      <c r="D32" s="128" t="s">
        <v>16</v>
      </c>
      <c r="E32" s="128"/>
      <c r="F32" s="128" t="s">
        <v>914</v>
      </c>
      <c r="G32" s="128">
        <v>1</v>
      </c>
      <c r="H32" s="128"/>
      <c r="I32" s="129" t="s">
        <v>900</v>
      </c>
      <c r="J32" s="152"/>
      <c r="K32" s="160"/>
      <c r="L32" s="161"/>
      <c r="M32" s="162"/>
      <c r="N32" s="161"/>
      <c r="O32" s="163"/>
      <c r="P32" s="131" t="s">
        <v>370</v>
      </c>
      <c r="Q32" s="166" t="s">
        <v>939</v>
      </c>
    </row>
    <row r="33" spans="1:17" ht="25.5" x14ac:dyDescent="0.2">
      <c r="A33" s="143">
        <f t="shared" si="0"/>
        <v>26</v>
      </c>
      <c r="B33" s="159" t="s">
        <v>330</v>
      </c>
      <c r="C33" s="151" t="s">
        <v>762</v>
      </c>
      <c r="D33" s="128" t="s">
        <v>16</v>
      </c>
      <c r="E33" s="128"/>
      <c r="F33" s="128" t="s">
        <v>238</v>
      </c>
      <c r="G33" s="128">
        <v>1</v>
      </c>
      <c r="H33" s="128"/>
      <c r="I33" s="129" t="s">
        <v>19</v>
      </c>
      <c r="J33" s="152"/>
      <c r="K33" s="160"/>
      <c r="L33" s="161"/>
      <c r="M33" s="162"/>
      <c r="N33" s="161"/>
      <c r="O33" s="163"/>
      <c r="P33" s="130" t="s">
        <v>160</v>
      </c>
      <c r="Q33" s="166" t="s">
        <v>203</v>
      </c>
    </row>
    <row r="34" spans="1:17" ht="25.5" x14ac:dyDescent="0.2">
      <c r="A34" s="143">
        <f t="shared" si="0"/>
        <v>27</v>
      </c>
      <c r="B34" s="159" t="s">
        <v>331</v>
      </c>
      <c r="C34" s="151" t="s">
        <v>204</v>
      </c>
      <c r="D34" s="128" t="s">
        <v>16</v>
      </c>
      <c r="E34" s="128"/>
      <c r="F34" s="128" t="s">
        <v>238</v>
      </c>
      <c r="G34" s="128">
        <v>1</v>
      </c>
      <c r="H34" s="128"/>
      <c r="I34" s="129" t="s">
        <v>19</v>
      </c>
      <c r="J34" s="152"/>
      <c r="K34" s="160"/>
      <c r="L34" s="161"/>
      <c r="M34" s="162"/>
      <c r="N34" s="161"/>
      <c r="O34" s="163"/>
      <c r="P34" s="131" t="s">
        <v>370</v>
      </c>
      <c r="Q34" s="166" t="s">
        <v>196</v>
      </c>
    </row>
    <row r="35" spans="1:17" ht="38.25" x14ac:dyDescent="0.2">
      <c r="A35" s="143">
        <f t="shared" si="0"/>
        <v>28</v>
      </c>
      <c r="B35" s="159" t="s">
        <v>332</v>
      </c>
      <c r="C35" s="151" t="s">
        <v>704</v>
      </c>
      <c r="D35" s="128" t="s">
        <v>16</v>
      </c>
      <c r="E35" s="128"/>
      <c r="F35" s="128" t="s">
        <v>238</v>
      </c>
      <c r="G35" s="128">
        <v>1</v>
      </c>
      <c r="H35" s="128"/>
      <c r="I35" s="129" t="s">
        <v>19</v>
      </c>
      <c r="J35" s="152"/>
      <c r="K35" s="160"/>
      <c r="L35" s="161"/>
      <c r="M35" s="162"/>
      <c r="N35" s="161"/>
      <c r="O35" s="163"/>
      <c r="P35" s="131" t="s">
        <v>259</v>
      </c>
      <c r="Q35" s="166" t="s">
        <v>197</v>
      </c>
    </row>
    <row r="36" spans="1:17" ht="25.5" x14ac:dyDescent="0.2">
      <c r="A36" s="143">
        <f t="shared" si="0"/>
        <v>29</v>
      </c>
      <c r="B36" s="159" t="s">
        <v>333</v>
      </c>
      <c r="C36" s="151" t="s">
        <v>205</v>
      </c>
      <c r="D36" s="128" t="s">
        <v>16</v>
      </c>
      <c r="E36" s="128"/>
      <c r="F36" s="128" t="s">
        <v>238</v>
      </c>
      <c r="G36" s="128">
        <v>1</v>
      </c>
      <c r="H36" s="128"/>
      <c r="I36" s="129" t="s">
        <v>19</v>
      </c>
      <c r="J36" s="152"/>
      <c r="K36" s="160"/>
      <c r="L36" s="161"/>
      <c r="M36" s="162"/>
      <c r="N36" s="161"/>
      <c r="O36" s="163"/>
      <c r="P36" s="131" t="s">
        <v>370</v>
      </c>
      <c r="Q36" s="167" t="s">
        <v>198</v>
      </c>
    </row>
    <row r="37" spans="1:17" ht="38.25" x14ac:dyDescent="0.2">
      <c r="A37" s="143">
        <f t="shared" si="0"/>
        <v>30</v>
      </c>
      <c r="B37" s="159" t="s">
        <v>334</v>
      </c>
      <c r="C37" s="151" t="s">
        <v>708</v>
      </c>
      <c r="D37" s="128" t="s">
        <v>16</v>
      </c>
      <c r="E37" s="128"/>
      <c r="F37" s="128" t="s">
        <v>238</v>
      </c>
      <c r="G37" s="128">
        <v>1</v>
      </c>
      <c r="H37" s="128"/>
      <c r="I37" s="129" t="s">
        <v>19</v>
      </c>
      <c r="J37" s="152"/>
      <c r="K37" s="160"/>
      <c r="L37" s="161"/>
      <c r="M37" s="162"/>
      <c r="N37" s="161"/>
      <c r="O37" s="163"/>
      <c r="P37" s="131" t="s">
        <v>370</v>
      </c>
      <c r="Q37" s="166" t="s">
        <v>200</v>
      </c>
    </row>
    <row r="38" spans="1:17" x14ac:dyDescent="0.2">
      <c r="A38" s="143">
        <f t="shared" si="0"/>
        <v>31</v>
      </c>
      <c r="B38" s="159" t="s">
        <v>335</v>
      </c>
      <c r="C38" s="151" t="s">
        <v>810</v>
      </c>
      <c r="D38" s="128" t="s">
        <v>16</v>
      </c>
      <c r="E38" s="128"/>
      <c r="F38" s="128" t="s">
        <v>238</v>
      </c>
      <c r="G38" s="128">
        <v>1</v>
      </c>
      <c r="H38" s="128"/>
      <c r="I38" s="129" t="s">
        <v>19</v>
      </c>
      <c r="J38" s="152"/>
      <c r="K38" s="160"/>
      <c r="L38" s="161"/>
      <c r="M38" s="162"/>
      <c r="N38" s="161"/>
      <c r="O38" s="163"/>
      <c r="P38" s="163"/>
      <c r="Q38" s="166"/>
    </row>
    <row r="39" spans="1:17" ht="25.5" x14ac:dyDescent="0.2">
      <c r="A39" s="143">
        <f t="shared" si="0"/>
        <v>32</v>
      </c>
      <c r="B39" s="159" t="s">
        <v>336</v>
      </c>
      <c r="C39" s="151" t="s">
        <v>763</v>
      </c>
      <c r="D39" s="128" t="s">
        <v>16</v>
      </c>
      <c r="E39" s="128"/>
      <c r="F39" s="128" t="s">
        <v>238</v>
      </c>
      <c r="G39" s="128">
        <v>1</v>
      </c>
      <c r="H39" s="128"/>
      <c r="I39" s="129" t="s">
        <v>19</v>
      </c>
      <c r="J39" s="152"/>
      <c r="K39" s="160"/>
      <c r="L39" s="161"/>
      <c r="M39" s="162"/>
      <c r="N39" s="161"/>
      <c r="O39" s="163"/>
      <c r="P39" s="131" t="s">
        <v>370</v>
      </c>
      <c r="Q39" s="166" t="s">
        <v>234</v>
      </c>
    </row>
    <row r="40" spans="1:17" ht="25.5" x14ac:dyDescent="0.2">
      <c r="A40" s="143">
        <f t="shared" si="0"/>
        <v>33</v>
      </c>
      <c r="B40" s="159" t="s">
        <v>448</v>
      </c>
      <c r="C40" s="151" t="s">
        <v>1010</v>
      </c>
      <c r="D40" s="128" t="s">
        <v>16</v>
      </c>
      <c r="E40" s="128"/>
      <c r="F40" s="128" t="s">
        <v>238</v>
      </c>
      <c r="G40" s="128">
        <v>1</v>
      </c>
      <c r="H40" s="128"/>
      <c r="I40" s="129" t="s">
        <v>19</v>
      </c>
      <c r="J40" s="152"/>
      <c r="K40" s="160"/>
      <c r="L40" s="161"/>
      <c r="M40" s="162"/>
      <c r="N40" s="161"/>
      <c r="O40" s="163"/>
      <c r="P40" s="131" t="s">
        <v>259</v>
      </c>
      <c r="Q40" s="167"/>
    </row>
    <row r="41" spans="1:17" ht="25.5" x14ac:dyDescent="0.2">
      <c r="A41" s="143">
        <f t="shared" si="0"/>
        <v>34</v>
      </c>
      <c r="B41" s="159" t="s">
        <v>449</v>
      </c>
      <c r="C41" s="151" t="s">
        <v>450</v>
      </c>
      <c r="D41" s="128" t="s">
        <v>16</v>
      </c>
      <c r="E41" s="128"/>
      <c r="F41" s="128" t="s">
        <v>238</v>
      </c>
      <c r="G41" s="128">
        <v>1</v>
      </c>
      <c r="H41" s="128"/>
      <c r="I41" s="129" t="s">
        <v>19</v>
      </c>
      <c r="J41" s="152"/>
      <c r="K41" s="160"/>
      <c r="L41" s="161"/>
      <c r="M41" s="162"/>
      <c r="N41" s="161"/>
      <c r="O41" s="163"/>
      <c r="P41" s="131" t="s">
        <v>357</v>
      </c>
      <c r="Q41" s="167"/>
    </row>
    <row r="42" spans="1:17" ht="38.25" x14ac:dyDescent="0.2">
      <c r="A42" s="143">
        <f t="shared" si="0"/>
        <v>35</v>
      </c>
      <c r="B42" s="159" t="s">
        <v>659</v>
      </c>
      <c r="C42" s="151" t="s">
        <v>764</v>
      </c>
      <c r="D42" s="128" t="s">
        <v>16</v>
      </c>
      <c r="E42" s="128"/>
      <c r="F42" s="128" t="s">
        <v>238</v>
      </c>
      <c r="G42" s="128">
        <v>1</v>
      </c>
      <c r="H42" s="128"/>
      <c r="I42" s="129" t="s">
        <v>19</v>
      </c>
      <c r="J42" s="152"/>
      <c r="K42" s="160"/>
      <c r="L42" s="161"/>
      <c r="M42" s="162"/>
      <c r="N42" s="161"/>
      <c r="O42" s="163"/>
      <c r="P42" s="130" t="s">
        <v>651</v>
      </c>
      <c r="Q42" s="167" t="s">
        <v>769</v>
      </c>
    </row>
    <row r="43" spans="1:17" ht="25.5" x14ac:dyDescent="0.2">
      <c r="A43" s="143">
        <f t="shared" si="0"/>
        <v>36</v>
      </c>
      <c r="B43" s="159" t="s">
        <v>801</v>
      </c>
      <c r="C43" s="204" t="s">
        <v>802</v>
      </c>
      <c r="D43" s="204" t="s">
        <v>16</v>
      </c>
      <c r="E43" s="204"/>
      <c r="F43" s="204" t="s">
        <v>238</v>
      </c>
      <c r="G43" s="204">
        <v>1</v>
      </c>
      <c r="H43" s="204"/>
      <c r="I43" s="204" t="s">
        <v>19</v>
      </c>
      <c r="J43" s="204"/>
      <c r="K43" s="204"/>
      <c r="L43" s="204"/>
      <c r="M43" s="204"/>
      <c r="N43" s="204"/>
      <c r="O43" s="204"/>
      <c r="P43" s="204" t="s">
        <v>903</v>
      </c>
      <c r="Q43" s="236" t="s">
        <v>800</v>
      </c>
    </row>
    <row r="44" spans="1:17" ht="76.5" x14ac:dyDescent="0.2">
      <c r="A44" s="143">
        <f t="shared" si="0"/>
        <v>37</v>
      </c>
      <c r="B44" s="159" t="s">
        <v>337</v>
      </c>
      <c r="C44" s="151" t="s">
        <v>668</v>
      </c>
      <c r="D44" s="128" t="s">
        <v>16</v>
      </c>
      <c r="E44" s="128"/>
      <c r="F44" s="128" t="s">
        <v>238</v>
      </c>
      <c r="G44" s="128">
        <v>1</v>
      </c>
      <c r="H44" s="128"/>
      <c r="I44" s="129" t="s">
        <v>19</v>
      </c>
      <c r="J44" s="152"/>
      <c r="K44" s="160"/>
      <c r="L44" s="161"/>
      <c r="M44" s="162"/>
      <c r="N44" s="161"/>
      <c r="O44" s="163"/>
      <c r="P44" s="131" t="s">
        <v>259</v>
      </c>
      <c r="Q44" s="167"/>
    </row>
    <row r="45" spans="1:17" ht="76.5" x14ac:dyDescent="0.2">
      <c r="A45" s="143">
        <f t="shared" si="0"/>
        <v>38</v>
      </c>
      <c r="B45" s="159" t="s">
        <v>691</v>
      </c>
      <c r="C45" s="151" t="s">
        <v>808</v>
      </c>
      <c r="D45" s="128" t="s">
        <v>16</v>
      </c>
      <c r="E45" s="160"/>
      <c r="F45" s="128" t="s">
        <v>238</v>
      </c>
      <c r="G45" s="128">
        <v>1</v>
      </c>
      <c r="H45" s="128"/>
      <c r="I45" s="129" t="s">
        <v>19</v>
      </c>
      <c r="J45" s="152"/>
      <c r="K45" s="160"/>
      <c r="L45" s="161"/>
      <c r="M45" s="162"/>
      <c r="N45" s="161"/>
      <c r="O45" s="163"/>
      <c r="P45" s="131" t="s">
        <v>905</v>
      </c>
      <c r="Q45" s="216" t="s">
        <v>807</v>
      </c>
    </row>
  </sheetData>
  <autoFilter ref="A5:Q45"/>
  <mergeCells count="2">
    <mergeCell ref="B2:R2"/>
    <mergeCell ref="B3:L3"/>
  </mergeCells>
  <conditionalFormatting sqref="O8:P17 O19:P26 O44:P44 O42:O43 O27:O29 O30:P32 O33 O34:P41">
    <cfRule type="cellIs" dxfId="1970" priority="1846" stopIfTrue="1" operator="equal">
      <formula>#REF!</formula>
    </cfRule>
  </conditionalFormatting>
  <conditionalFormatting sqref="O19:P19">
    <cfRule type="cellIs" dxfId="1969" priority="1845" stopIfTrue="1" operator="equal">
      <formula>#REF!</formula>
    </cfRule>
  </conditionalFormatting>
  <conditionalFormatting sqref="O9:P9">
    <cfRule type="cellIs" dxfId="1968" priority="1839" stopIfTrue="1" operator="equal">
      <formula>#REF!</formula>
    </cfRule>
  </conditionalFormatting>
  <conditionalFormatting sqref="O44:P44">
    <cfRule type="cellIs" dxfId="1967" priority="1741" stopIfTrue="1" operator="equal">
      <formula>#REF!</formula>
    </cfRule>
  </conditionalFormatting>
  <conditionalFormatting sqref="O30:P30">
    <cfRule type="cellIs" dxfId="1966" priority="1833" stopIfTrue="1" operator="equal">
      <formula>#REF!</formula>
    </cfRule>
  </conditionalFormatting>
  <conditionalFormatting sqref="O33">
    <cfRule type="cellIs" dxfId="1965" priority="1827" stopIfTrue="1" operator="equal">
      <formula>#REF!</formula>
    </cfRule>
  </conditionalFormatting>
  <conditionalFormatting sqref="O34:P34">
    <cfRule type="cellIs" dxfId="1964" priority="1826" stopIfTrue="1" operator="equal">
      <formula>#REF!</formula>
    </cfRule>
  </conditionalFormatting>
  <conditionalFormatting sqref="O36:P36">
    <cfRule type="cellIs" dxfId="1963" priority="1825" stopIfTrue="1" operator="equal">
      <formula>#REF!</formula>
    </cfRule>
  </conditionalFormatting>
  <conditionalFormatting sqref="O37:P37">
    <cfRule type="cellIs" dxfId="1962" priority="1824" stopIfTrue="1" operator="equal">
      <formula>#REF!</formula>
    </cfRule>
  </conditionalFormatting>
  <conditionalFormatting sqref="O8:P8">
    <cfRule type="cellIs" dxfId="1961" priority="1795" stopIfTrue="1" operator="equal">
      <formula>#REF!</formula>
    </cfRule>
  </conditionalFormatting>
  <conditionalFormatting sqref="O26:P26 O27:O29">
    <cfRule type="cellIs" dxfId="1960" priority="1794" stopIfTrue="1" operator="equal">
      <formula>#REF!</formula>
    </cfRule>
  </conditionalFormatting>
  <conditionalFormatting sqref="O31:P31">
    <cfRule type="cellIs" dxfId="1959" priority="1788" stopIfTrue="1" operator="equal">
      <formula>#REF!</formula>
    </cfRule>
  </conditionalFormatting>
  <conditionalFormatting sqref="O32:P32">
    <cfRule type="cellIs" dxfId="1958" priority="1787" stopIfTrue="1" operator="equal">
      <formula>#REF!</formula>
    </cfRule>
  </conditionalFormatting>
  <conditionalFormatting sqref="O34:P34">
    <cfRule type="cellIs" dxfId="1957" priority="1786" stopIfTrue="1" operator="equal">
      <formula>#REF!</formula>
    </cfRule>
  </conditionalFormatting>
  <conditionalFormatting sqref="O35:P35">
    <cfRule type="cellIs" dxfId="1956" priority="1785" stopIfTrue="1" operator="equal">
      <formula>#REF!</formula>
    </cfRule>
  </conditionalFormatting>
  <conditionalFormatting sqref="O32:P32">
    <cfRule type="cellIs" dxfId="1955" priority="1783" stopIfTrue="1" operator="equal">
      <formula>#REF!</formula>
    </cfRule>
  </conditionalFormatting>
  <conditionalFormatting sqref="O33">
    <cfRule type="cellIs" dxfId="1954" priority="1782" stopIfTrue="1" operator="equal">
      <formula>#REF!</formula>
    </cfRule>
  </conditionalFormatting>
  <conditionalFormatting sqref="O35:P35">
    <cfRule type="cellIs" dxfId="1953" priority="1781" stopIfTrue="1" operator="equal">
      <formula>#REF!</formula>
    </cfRule>
  </conditionalFormatting>
  <conditionalFormatting sqref="O36:P36">
    <cfRule type="cellIs" dxfId="1952" priority="1780" stopIfTrue="1" operator="equal">
      <formula>#REF!</formula>
    </cfRule>
  </conditionalFormatting>
  <conditionalFormatting sqref="O14:P14">
    <cfRule type="cellIs" dxfId="1951" priority="1779" stopIfTrue="1" operator="equal">
      <formula>#REF!</formula>
    </cfRule>
  </conditionalFormatting>
  <conditionalFormatting sqref="O15:P15">
    <cfRule type="cellIs" dxfId="1950" priority="1778" stopIfTrue="1" operator="equal">
      <formula>#REF!</formula>
    </cfRule>
  </conditionalFormatting>
  <conditionalFormatting sqref="O19:P19">
    <cfRule type="cellIs" dxfId="1949" priority="1777" stopIfTrue="1" operator="equal">
      <formula>#REF!</formula>
    </cfRule>
  </conditionalFormatting>
  <conditionalFormatting sqref="O20:P20">
    <cfRule type="cellIs" dxfId="1948" priority="1776" stopIfTrue="1" operator="equal">
      <formula>#REF!</formula>
    </cfRule>
  </conditionalFormatting>
  <conditionalFormatting sqref="O26:P26 O27:O29">
    <cfRule type="cellIs" dxfId="1947" priority="1771" stopIfTrue="1" operator="equal">
      <formula>#REF!</formula>
    </cfRule>
  </conditionalFormatting>
  <conditionalFormatting sqref="O30:P30">
    <cfRule type="cellIs" dxfId="1946" priority="1770" stopIfTrue="1" operator="equal">
      <formula>#REF!</formula>
    </cfRule>
  </conditionalFormatting>
  <conditionalFormatting sqref="O31:P31">
    <cfRule type="cellIs" dxfId="1945" priority="1769" stopIfTrue="1" operator="equal">
      <formula>#REF!</formula>
    </cfRule>
  </conditionalFormatting>
  <conditionalFormatting sqref="O26:P26 O27:O29">
    <cfRule type="cellIs" dxfId="1944" priority="1768" stopIfTrue="1" operator="equal">
      <formula>#REF!</formula>
    </cfRule>
  </conditionalFormatting>
  <conditionalFormatting sqref="O31:P31">
    <cfRule type="cellIs" dxfId="1943" priority="1766" stopIfTrue="1" operator="equal">
      <formula>#REF!</formula>
    </cfRule>
  </conditionalFormatting>
  <conditionalFormatting sqref="O32:P32">
    <cfRule type="cellIs" dxfId="1942" priority="1765" stopIfTrue="1" operator="equal">
      <formula>#REF!</formula>
    </cfRule>
  </conditionalFormatting>
  <conditionalFormatting sqref="O44:P44">
    <cfRule type="cellIs" dxfId="1941" priority="1764" stopIfTrue="1" operator="equal">
      <formula>#REF!</formula>
    </cfRule>
  </conditionalFormatting>
  <conditionalFormatting sqref="O36:P36">
    <cfRule type="cellIs" dxfId="1940" priority="1760" stopIfTrue="1" operator="equal">
      <formula>#REF!</formula>
    </cfRule>
  </conditionalFormatting>
  <conditionalFormatting sqref="O37:P37">
    <cfRule type="cellIs" dxfId="1939" priority="1759" stopIfTrue="1" operator="equal">
      <formula>#REF!</formula>
    </cfRule>
  </conditionalFormatting>
  <conditionalFormatting sqref="O39:P41 O42:O43">
    <cfRule type="cellIs" dxfId="1938" priority="1758" stopIfTrue="1" operator="equal">
      <formula>#REF!</formula>
    </cfRule>
  </conditionalFormatting>
  <conditionalFormatting sqref="O44:P44">
    <cfRule type="cellIs" dxfId="1937" priority="1757" stopIfTrue="1" operator="equal">
      <formula>#REF!</formula>
    </cfRule>
  </conditionalFormatting>
  <conditionalFormatting sqref="O36:P36">
    <cfRule type="cellIs" dxfId="1936" priority="1747" stopIfTrue="1" operator="equal">
      <formula>#REF!</formula>
    </cfRule>
  </conditionalFormatting>
  <conditionalFormatting sqref="O39:P41 O42:O43">
    <cfRule type="cellIs" dxfId="1935" priority="1742" stopIfTrue="1" operator="equal">
      <formula>#REF!</formula>
    </cfRule>
  </conditionalFormatting>
  <conditionalFormatting sqref="O44:P44">
    <cfRule type="cellIs" dxfId="1934" priority="1738" stopIfTrue="1" operator="equal">
      <formula>#REF!</formula>
    </cfRule>
  </conditionalFormatting>
  <conditionalFormatting sqref="O36:P36">
    <cfRule type="cellIs" dxfId="1933" priority="1730" stopIfTrue="1" operator="equal">
      <formula>#REF!</formula>
    </cfRule>
  </conditionalFormatting>
  <conditionalFormatting sqref="O38:P38">
    <cfRule type="cellIs" dxfId="1932" priority="1729" stopIfTrue="1" operator="equal">
      <formula>#REF!</formula>
    </cfRule>
  </conditionalFormatting>
  <conditionalFormatting sqref="O39:P41 O42:O43">
    <cfRule type="cellIs" dxfId="1931" priority="1728" stopIfTrue="1" operator="equal">
      <formula>#REF!</formula>
    </cfRule>
  </conditionalFormatting>
  <conditionalFormatting sqref="O36:P36">
    <cfRule type="cellIs" dxfId="1930" priority="1727" stopIfTrue="1" operator="equal">
      <formula>#REF!</formula>
    </cfRule>
  </conditionalFormatting>
  <conditionalFormatting sqref="O37:P37">
    <cfRule type="cellIs" dxfId="1929" priority="1726" stopIfTrue="1" operator="equal">
      <formula>#REF!</formula>
    </cfRule>
  </conditionalFormatting>
  <conditionalFormatting sqref="O39:P41 O42:O43">
    <cfRule type="cellIs" dxfId="1928" priority="1725" stopIfTrue="1" operator="equal">
      <formula>#REF!</formula>
    </cfRule>
  </conditionalFormatting>
  <conditionalFormatting sqref="O44:P44">
    <cfRule type="cellIs" dxfId="1927" priority="1724" stopIfTrue="1" operator="equal">
      <formula>#REF!</formula>
    </cfRule>
  </conditionalFormatting>
  <conditionalFormatting sqref="O36:P36">
    <cfRule type="cellIs" dxfId="1926" priority="1615" stopIfTrue="1" operator="equal">
      <formula>#REF!</formula>
    </cfRule>
  </conditionalFormatting>
  <conditionalFormatting sqref="O38:P38">
    <cfRule type="cellIs" dxfId="1925" priority="1706" stopIfTrue="1" operator="equal">
      <formula>#REF!</formula>
    </cfRule>
  </conditionalFormatting>
  <conditionalFormatting sqref="O39:P41 O42:O43">
    <cfRule type="cellIs" dxfId="1924" priority="1705" stopIfTrue="1" operator="equal">
      <formula>#REF!</formula>
    </cfRule>
  </conditionalFormatting>
  <conditionalFormatting sqref="O34:P34">
    <cfRule type="cellIs" dxfId="1923" priority="1702" stopIfTrue="1" operator="equal">
      <formula>#REF!</formula>
    </cfRule>
  </conditionalFormatting>
  <conditionalFormatting sqref="O35:P35">
    <cfRule type="cellIs" dxfId="1922" priority="1701" stopIfTrue="1" operator="equal">
      <formula>#REF!</formula>
    </cfRule>
  </conditionalFormatting>
  <conditionalFormatting sqref="O37:P37">
    <cfRule type="cellIs" dxfId="1921" priority="1700" stopIfTrue="1" operator="equal">
      <formula>#REF!</formula>
    </cfRule>
  </conditionalFormatting>
  <conditionalFormatting sqref="O38:P38">
    <cfRule type="cellIs" dxfId="1920" priority="1699" stopIfTrue="1" operator="equal">
      <formula>#REF!</formula>
    </cfRule>
  </conditionalFormatting>
  <conditionalFormatting sqref="O34:P34">
    <cfRule type="cellIs" dxfId="1919" priority="1698" stopIfTrue="1" operator="equal">
      <formula>#REF!</formula>
    </cfRule>
  </conditionalFormatting>
  <conditionalFormatting sqref="O36:P36">
    <cfRule type="cellIs" dxfId="1918" priority="1697" stopIfTrue="1" operator="equal">
      <formula>#REF!</formula>
    </cfRule>
  </conditionalFormatting>
  <conditionalFormatting sqref="O37:P37">
    <cfRule type="cellIs" dxfId="1917" priority="1696" stopIfTrue="1" operator="equal">
      <formula>#REF!</formula>
    </cfRule>
  </conditionalFormatting>
  <conditionalFormatting sqref="O37:P37">
    <cfRule type="cellIs" dxfId="1916" priority="1695" stopIfTrue="1" operator="equal">
      <formula>#REF!</formula>
    </cfRule>
  </conditionalFormatting>
  <conditionalFormatting sqref="O38:P38">
    <cfRule type="cellIs" dxfId="1915" priority="1694" stopIfTrue="1" operator="equal">
      <formula>#REF!</formula>
    </cfRule>
  </conditionalFormatting>
  <conditionalFormatting sqref="O44:P44">
    <cfRule type="cellIs" dxfId="1914" priority="1693" stopIfTrue="1" operator="equal">
      <formula>#REF!</formula>
    </cfRule>
  </conditionalFormatting>
  <conditionalFormatting sqref="O34:P34">
    <cfRule type="cellIs" dxfId="1913" priority="1691" stopIfTrue="1" operator="equal">
      <formula>#REF!</formula>
    </cfRule>
  </conditionalFormatting>
  <conditionalFormatting sqref="O36:P36">
    <cfRule type="cellIs" dxfId="1912" priority="1690" stopIfTrue="1" operator="equal">
      <formula>#REF!</formula>
    </cfRule>
  </conditionalFormatting>
  <conditionalFormatting sqref="O37:P37">
    <cfRule type="cellIs" dxfId="1911" priority="1689" stopIfTrue="1" operator="equal">
      <formula>#REF!</formula>
    </cfRule>
  </conditionalFormatting>
  <conditionalFormatting sqref="O35:P35">
    <cfRule type="cellIs" dxfId="1910" priority="1688" stopIfTrue="1" operator="equal">
      <formula>#REF!</formula>
    </cfRule>
  </conditionalFormatting>
  <conditionalFormatting sqref="O36:P36">
    <cfRule type="cellIs" dxfId="1909" priority="1687" stopIfTrue="1" operator="equal">
      <formula>#REF!</formula>
    </cfRule>
  </conditionalFormatting>
  <conditionalFormatting sqref="O37:P37">
    <cfRule type="cellIs" dxfId="1908" priority="1686" stopIfTrue="1" operator="equal">
      <formula>#REF!</formula>
    </cfRule>
  </conditionalFormatting>
  <conditionalFormatting sqref="O44:P44">
    <cfRule type="cellIs" dxfId="1907" priority="1681" stopIfTrue="1" operator="equal">
      <formula>#REF!</formula>
    </cfRule>
  </conditionalFormatting>
  <conditionalFormatting sqref="O26:P26 O27:O29">
    <cfRule type="cellIs" dxfId="1906" priority="1673" stopIfTrue="1" operator="equal">
      <formula>#REF!</formula>
    </cfRule>
  </conditionalFormatting>
  <conditionalFormatting sqref="O30:P30">
    <cfRule type="cellIs" dxfId="1905" priority="1672" stopIfTrue="1" operator="equal">
      <formula>#REF!</formula>
    </cfRule>
  </conditionalFormatting>
  <conditionalFormatting sqref="O31:P31">
    <cfRule type="cellIs" dxfId="1904" priority="1671" stopIfTrue="1" operator="equal">
      <formula>#REF!</formula>
    </cfRule>
  </conditionalFormatting>
  <conditionalFormatting sqref="O37:P37">
    <cfRule type="cellIs" dxfId="1903" priority="1666" stopIfTrue="1" operator="equal">
      <formula>#REF!</formula>
    </cfRule>
  </conditionalFormatting>
  <conditionalFormatting sqref="O39:P41 O42:O43">
    <cfRule type="cellIs" dxfId="1902" priority="1665" stopIfTrue="1" operator="equal">
      <formula>#REF!</formula>
    </cfRule>
  </conditionalFormatting>
  <conditionalFormatting sqref="O44:P44">
    <cfRule type="cellIs" dxfId="1901" priority="1664" stopIfTrue="1" operator="equal">
      <formula>#REF!</formula>
    </cfRule>
  </conditionalFormatting>
  <conditionalFormatting sqref="O37:P37">
    <cfRule type="cellIs" dxfId="1900" priority="1663" stopIfTrue="1" operator="equal">
      <formula>#REF!</formula>
    </cfRule>
  </conditionalFormatting>
  <conditionalFormatting sqref="O38:P38">
    <cfRule type="cellIs" dxfId="1899" priority="1662" stopIfTrue="1" operator="equal">
      <formula>#REF!</formula>
    </cfRule>
  </conditionalFormatting>
  <conditionalFormatting sqref="O44:P44">
    <cfRule type="cellIs" dxfId="1898" priority="1661" stopIfTrue="1" operator="equal">
      <formula>#REF!</formula>
    </cfRule>
  </conditionalFormatting>
  <conditionalFormatting sqref="O32:P32">
    <cfRule type="cellIs" dxfId="1897" priority="1565" stopIfTrue="1" operator="equal">
      <formula>#REF!</formula>
    </cfRule>
  </conditionalFormatting>
  <conditionalFormatting sqref="O39:P41 O42:O43">
    <cfRule type="cellIs" dxfId="1896" priority="1642" stopIfTrue="1" operator="equal">
      <formula>#REF!</formula>
    </cfRule>
  </conditionalFormatting>
  <conditionalFormatting sqref="O44:P44">
    <cfRule type="cellIs" dxfId="1895" priority="1641" stopIfTrue="1" operator="equal">
      <formula>#REF!</formula>
    </cfRule>
  </conditionalFormatting>
  <conditionalFormatting sqref="O26:P26 O27:O29">
    <cfRule type="cellIs" dxfId="1894" priority="1638" stopIfTrue="1" operator="equal">
      <formula>#REF!</formula>
    </cfRule>
  </conditionalFormatting>
  <conditionalFormatting sqref="O30:P30">
    <cfRule type="cellIs" dxfId="1893" priority="1635" stopIfTrue="1" operator="equal">
      <formula>#REF!</formula>
    </cfRule>
  </conditionalFormatting>
  <conditionalFormatting sqref="O35:P35">
    <cfRule type="cellIs" dxfId="1892" priority="1634" stopIfTrue="1" operator="equal">
      <formula>#REF!</formula>
    </cfRule>
  </conditionalFormatting>
  <conditionalFormatting sqref="O36:P36">
    <cfRule type="cellIs" dxfId="1891" priority="1633" stopIfTrue="1" operator="equal">
      <formula>#REF!</formula>
    </cfRule>
  </conditionalFormatting>
  <conditionalFormatting sqref="O38:P38">
    <cfRule type="cellIs" dxfId="1890" priority="1632" stopIfTrue="1" operator="equal">
      <formula>#REF!</formula>
    </cfRule>
  </conditionalFormatting>
  <conditionalFormatting sqref="O39:P41 O42:O43">
    <cfRule type="cellIs" dxfId="1889" priority="1631" stopIfTrue="1" operator="equal">
      <formula>#REF!</formula>
    </cfRule>
  </conditionalFormatting>
  <conditionalFormatting sqref="O34:P34">
    <cfRule type="cellIs" dxfId="1888" priority="1630" stopIfTrue="1" operator="equal">
      <formula>#REF!</formula>
    </cfRule>
  </conditionalFormatting>
  <conditionalFormatting sqref="O35:P35">
    <cfRule type="cellIs" dxfId="1887" priority="1629" stopIfTrue="1" operator="equal">
      <formula>#REF!</formula>
    </cfRule>
  </conditionalFormatting>
  <conditionalFormatting sqref="O37:P37">
    <cfRule type="cellIs" dxfId="1886" priority="1628" stopIfTrue="1" operator="equal">
      <formula>#REF!</formula>
    </cfRule>
  </conditionalFormatting>
  <conditionalFormatting sqref="O38:P38">
    <cfRule type="cellIs" dxfId="1885" priority="1627" stopIfTrue="1" operator="equal">
      <formula>#REF!</formula>
    </cfRule>
  </conditionalFormatting>
  <conditionalFormatting sqref="O30:P30">
    <cfRule type="cellIs" dxfId="1884" priority="1626" stopIfTrue="1" operator="equal">
      <formula>#REF!</formula>
    </cfRule>
  </conditionalFormatting>
  <conditionalFormatting sqref="O31:P31">
    <cfRule type="cellIs" dxfId="1883" priority="1625" stopIfTrue="1" operator="equal">
      <formula>#REF!</formula>
    </cfRule>
  </conditionalFormatting>
  <conditionalFormatting sqref="O33">
    <cfRule type="cellIs" dxfId="1882" priority="1624" stopIfTrue="1" operator="equal">
      <formula>#REF!</formula>
    </cfRule>
  </conditionalFormatting>
  <conditionalFormatting sqref="O34:P34">
    <cfRule type="cellIs" dxfId="1881" priority="1623" stopIfTrue="1" operator="equal">
      <formula>#REF!</formula>
    </cfRule>
  </conditionalFormatting>
  <conditionalFormatting sqref="O38:P38">
    <cfRule type="cellIs" dxfId="1880" priority="1622" stopIfTrue="1" operator="equal">
      <formula>#REF!</formula>
    </cfRule>
  </conditionalFormatting>
  <conditionalFormatting sqref="O39:P41 O42:O43">
    <cfRule type="cellIs" dxfId="1879" priority="1621" stopIfTrue="1" operator="equal">
      <formula>#REF!</formula>
    </cfRule>
  </conditionalFormatting>
  <conditionalFormatting sqref="O35:P35">
    <cfRule type="cellIs" dxfId="1878" priority="1618" stopIfTrue="1" operator="equal">
      <formula>#REF!</formula>
    </cfRule>
  </conditionalFormatting>
  <conditionalFormatting sqref="O37:P37">
    <cfRule type="cellIs" dxfId="1877" priority="1617" stopIfTrue="1" operator="equal">
      <formula>#REF!</formula>
    </cfRule>
  </conditionalFormatting>
  <conditionalFormatting sqref="O38:P38">
    <cfRule type="cellIs" dxfId="1876" priority="1616" stopIfTrue="1" operator="equal">
      <formula>#REF!</formula>
    </cfRule>
  </conditionalFormatting>
  <conditionalFormatting sqref="O37:P37">
    <cfRule type="cellIs" dxfId="1875" priority="1614" stopIfTrue="1" operator="equal">
      <formula>#REF!</formula>
    </cfRule>
  </conditionalFormatting>
  <conditionalFormatting sqref="O30:P30">
    <cfRule type="cellIs" dxfId="1874" priority="1613" stopIfTrue="1" operator="equal">
      <formula>#REF!</formula>
    </cfRule>
  </conditionalFormatting>
  <conditionalFormatting sqref="O33">
    <cfRule type="cellIs" dxfId="1873" priority="1608" stopIfTrue="1" operator="equal">
      <formula>#REF!</formula>
    </cfRule>
  </conditionalFormatting>
  <conditionalFormatting sqref="O34:P34">
    <cfRule type="cellIs" dxfId="1872" priority="1607" stopIfTrue="1" operator="equal">
      <formula>#REF!</formula>
    </cfRule>
  </conditionalFormatting>
  <conditionalFormatting sqref="O36:P36">
    <cfRule type="cellIs" dxfId="1871" priority="1606" stopIfTrue="1" operator="equal">
      <formula>#REF!</formula>
    </cfRule>
  </conditionalFormatting>
  <conditionalFormatting sqref="O37:P37">
    <cfRule type="cellIs" dxfId="1870" priority="1605" stopIfTrue="1" operator="equal">
      <formula>#REF!</formula>
    </cfRule>
  </conditionalFormatting>
  <conditionalFormatting sqref="O34:P34">
    <cfRule type="cellIs" dxfId="1869" priority="1604" stopIfTrue="1" operator="equal">
      <formula>#REF!</formula>
    </cfRule>
  </conditionalFormatting>
  <conditionalFormatting sqref="O35:P35">
    <cfRule type="cellIs" dxfId="1868" priority="1603" stopIfTrue="1" operator="equal">
      <formula>#REF!</formula>
    </cfRule>
  </conditionalFormatting>
  <conditionalFormatting sqref="O37:P37">
    <cfRule type="cellIs" dxfId="1867" priority="1602" stopIfTrue="1" operator="equal">
      <formula>#REF!</formula>
    </cfRule>
  </conditionalFormatting>
  <conditionalFormatting sqref="O38:P38">
    <cfRule type="cellIs" dxfId="1866" priority="1601" stopIfTrue="1" operator="equal">
      <formula>#REF!</formula>
    </cfRule>
  </conditionalFormatting>
  <conditionalFormatting sqref="O30:P30">
    <cfRule type="cellIs" dxfId="1865" priority="1596" stopIfTrue="1" operator="equal">
      <formula>#REF!</formula>
    </cfRule>
  </conditionalFormatting>
  <conditionalFormatting sqref="O32:P32">
    <cfRule type="cellIs" dxfId="1864" priority="1595" stopIfTrue="1" operator="equal">
      <formula>#REF!</formula>
    </cfRule>
  </conditionalFormatting>
  <conditionalFormatting sqref="O33">
    <cfRule type="cellIs" dxfId="1863" priority="1594" stopIfTrue="1" operator="equal">
      <formula>#REF!</formula>
    </cfRule>
  </conditionalFormatting>
  <conditionalFormatting sqref="O30:P30">
    <cfRule type="cellIs" dxfId="1862" priority="1593" stopIfTrue="1" operator="equal">
      <formula>#REF!</formula>
    </cfRule>
  </conditionalFormatting>
  <conditionalFormatting sqref="O31:P31">
    <cfRule type="cellIs" dxfId="1861" priority="1592" stopIfTrue="1" operator="equal">
      <formula>#REF!</formula>
    </cfRule>
  </conditionalFormatting>
  <conditionalFormatting sqref="O33">
    <cfRule type="cellIs" dxfId="1860" priority="1591" stopIfTrue="1" operator="equal">
      <formula>#REF!</formula>
    </cfRule>
  </conditionalFormatting>
  <conditionalFormatting sqref="O34:P34">
    <cfRule type="cellIs" dxfId="1859" priority="1590" stopIfTrue="1" operator="equal">
      <formula>#REF!</formula>
    </cfRule>
  </conditionalFormatting>
  <conditionalFormatting sqref="O38:P38">
    <cfRule type="cellIs" dxfId="1858" priority="1585" stopIfTrue="1" operator="equal">
      <formula>#REF!</formula>
    </cfRule>
  </conditionalFormatting>
  <conditionalFormatting sqref="O39:P41 O42:O43">
    <cfRule type="cellIs" dxfId="1857" priority="1584" stopIfTrue="1" operator="equal">
      <formula>#REF!</formula>
    </cfRule>
  </conditionalFormatting>
  <conditionalFormatting sqref="O32:P32">
    <cfRule type="cellIs" dxfId="1856" priority="1572" stopIfTrue="1" operator="equal">
      <formula>#REF!</formula>
    </cfRule>
  </conditionalFormatting>
  <conditionalFormatting sqref="O33">
    <cfRule type="cellIs" dxfId="1855" priority="1571" stopIfTrue="1" operator="equal">
      <formula>#REF!</formula>
    </cfRule>
  </conditionalFormatting>
  <conditionalFormatting sqref="O35:P35">
    <cfRule type="cellIs" dxfId="1854" priority="1570" stopIfTrue="1" operator="equal">
      <formula>#REF!</formula>
    </cfRule>
  </conditionalFormatting>
  <conditionalFormatting sqref="O36:P36">
    <cfRule type="cellIs" dxfId="1853" priority="1569" stopIfTrue="1" operator="equal">
      <formula>#REF!</formula>
    </cfRule>
  </conditionalFormatting>
  <conditionalFormatting sqref="O26:P26 O27:O29">
    <cfRule type="cellIs" dxfId="1852" priority="1568" stopIfTrue="1" operator="equal">
      <formula>#REF!</formula>
    </cfRule>
  </conditionalFormatting>
  <conditionalFormatting sqref="O31:P31">
    <cfRule type="cellIs" dxfId="1851" priority="1566" stopIfTrue="1" operator="equal">
      <formula>#REF!</formula>
    </cfRule>
  </conditionalFormatting>
  <conditionalFormatting sqref="O26:P26 O27:O29">
    <cfRule type="cellIs" dxfId="1850" priority="1564" stopIfTrue="1" operator="equal">
      <formula>#REF!</formula>
    </cfRule>
  </conditionalFormatting>
  <conditionalFormatting sqref="O30:P30">
    <cfRule type="cellIs" dxfId="1849" priority="1563" stopIfTrue="1" operator="equal">
      <formula>#REF!</formula>
    </cfRule>
  </conditionalFormatting>
  <conditionalFormatting sqref="O31:P31">
    <cfRule type="cellIs" dxfId="1848" priority="1562" stopIfTrue="1" operator="equal">
      <formula>#REF!</formula>
    </cfRule>
  </conditionalFormatting>
  <conditionalFormatting sqref="O31:P31">
    <cfRule type="cellIs" dxfId="1847" priority="1561" stopIfTrue="1" operator="equal">
      <formula>#REF!</formula>
    </cfRule>
  </conditionalFormatting>
  <conditionalFormatting sqref="O32:P32">
    <cfRule type="cellIs" dxfId="1846" priority="1560" stopIfTrue="1" operator="equal">
      <formula>#REF!</formula>
    </cfRule>
  </conditionalFormatting>
  <conditionalFormatting sqref="O34:P34">
    <cfRule type="cellIs" dxfId="1845" priority="1559" stopIfTrue="1" operator="equal">
      <formula>#REF!</formula>
    </cfRule>
  </conditionalFormatting>
  <conditionalFormatting sqref="O35:P35">
    <cfRule type="cellIs" dxfId="1844" priority="1558" stopIfTrue="1" operator="equal">
      <formula>#REF!</formula>
    </cfRule>
  </conditionalFormatting>
  <conditionalFormatting sqref="O26:P26 O27:O29">
    <cfRule type="cellIs" dxfId="1843" priority="1557" stopIfTrue="1" operator="equal">
      <formula>#REF!</formula>
    </cfRule>
  </conditionalFormatting>
  <conditionalFormatting sqref="O30:P30">
    <cfRule type="cellIs" dxfId="1842" priority="1556" stopIfTrue="1" operator="equal">
      <formula>#REF!</formula>
    </cfRule>
  </conditionalFormatting>
  <conditionalFormatting sqref="O31:P31">
    <cfRule type="cellIs" dxfId="1841" priority="1555" stopIfTrue="1" operator="equal">
      <formula>#REF!</formula>
    </cfRule>
  </conditionalFormatting>
  <conditionalFormatting sqref="O30:P30">
    <cfRule type="cellIs" dxfId="1840" priority="1553" stopIfTrue="1" operator="equal">
      <formula>#REF!</formula>
    </cfRule>
  </conditionalFormatting>
  <conditionalFormatting sqref="P44">
    <cfRule type="cellIs" dxfId="1839" priority="1384" stopIfTrue="1" operator="equal">
      <formula>#REF!</formula>
    </cfRule>
  </conditionalFormatting>
  <conditionalFormatting sqref="O44:P44">
    <cfRule type="cellIs" dxfId="1838" priority="1541" stopIfTrue="1" operator="equal">
      <formula>#REF!</formula>
    </cfRule>
  </conditionalFormatting>
  <conditionalFormatting sqref="P11 P13 P15 P19 P21 P23 P25">
    <cfRule type="cellIs" dxfId="1837" priority="1444" stopIfTrue="1" operator="equal">
      <formula>#REF!</formula>
    </cfRule>
  </conditionalFormatting>
  <conditionalFormatting sqref="P30">
    <cfRule type="cellIs" dxfId="1836" priority="1437" stopIfTrue="1" operator="equal">
      <formula>#REF!</formula>
    </cfRule>
  </conditionalFormatting>
  <conditionalFormatting sqref="O44:P44">
    <cfRule type="cellIs" dxfId="1835" priority="1523" stopIfTrue="1" operator="equal">
      <formula>#REF!</formula>
    </cfRule>
  </conditionalFormatting>
  <conditionalFormatting sqref="O44:P44">
    <cfRule type="cellIs" dxfId="1834" priority="1519" stopIfTrue="1" operator="equal">
      <formula>#REF!</formula>
    </cfRule>
  </conditionalFormatting>
  <conditionalFormatting sqref="O44:P44">
    <cfRule type="cellIs" dxfId="1833" priority="1518" stopIfTrue="1" operator="equal">
      <formula>#REF!</formula>
    </cfRule>
  </conditionalFormatting>
  <conditionalFormatting sqref="O44:P44">
    <cfRule type="cellIs" dxfId="1832" priority="1503" stopIfTrue="1" operator="equal">
      <formula>#REF!</formula>
    </cfRule>
  </conditionalFormatting>
  <conditionalFormatting sqref="P32">
    <cfRule type="cellIs" dxfId="1831" priority="1405" stopIfTrue="1" operator="equal">
      <formula>#REF!</formula>
    </cfRule>
  </conditionalFormatting>
  <conditionalFormatting sqref="P32">
    <cfRule type="cellIs" dxfId="1830" priority="1397" stopIfTrue="1" operator="equal">
      <formula>#REF!</formula>
    </cfRule>
  </conditionalFormatting>
  <conditionalFormatting sqref="O44:P44">
    <cfRule type="cellIs" dxfId="1829" priority="1487" stopIfTrue="1" operator="equal">
      <formula>#REF!</formula>
    </cfRule>
  </conditionalFormatting>
  <conditionalFormatting sqref="O44:P44">
    <cfRule type="cellIs" dxfId="1828" priority="1478" stopIfTrue="1" operator="equal">
      <formula>#REF!</formula>
    </cfRule>
  </conditionalFormatting>
  <conditionalFormatting sqref="O44:P44">
    <cfRule type="cellIs" dxfId="1827" priority="1459" stopIfTrue="1" operator="equal">
      <formula>#REF!</formula>
    </cfRule>
  </conditionalFormatting>
  <conditionalFormatting sqref="O44:P44">
    <cfRule type="cellIs" dxfId="1826" priority="1453" stopIfTrue="1" operator="equal">
      <formula>#REF!</formula>
    </cfRule>
  </conditionalFormatting>
  <conditionalFormatting sqref="O44:P44">
    <cfRule type="cellIs" dxfId="1825" priority="1451" stopIfTrue="1" operator="equal">
      <formula>#REF!</formula>
    </cfRule>
  </conditionalFormatting>
  <conditionalFormatting sqref="P9">
    <cfRule type="cellIs" dxfId="1824" priority="1450" stopIfTrue="1" operator="equal">
      <formula>#REF!</formula>
    </cfRule>
  </conditionalFormatting>
  <conditionalFormatting sqref="P10 P12 P14 P16:P17 P20 P22 P24 P26">
    <cfRule type="cellIs" dxfId="1823" priority="1449" stopIfTrue="1" operator="equal">
      <formula>#REF!</formula>
    </cfRule>
  </conditionalFormatting>
  <conditionalFormatting sqref="P10 P12 P14 P16:P17 P20 P22 P24 P26">
    <cfRule type="cellIs" dxfId="1822" priority="1448" stopIfTrue="1" operator="equal">
      <formula>#REF!</formula>
    </cfRule>
  </conditionalFormatting>
  <conditionalFormatting sqref="P11 P13 P15 P19 P21 P23 P25">
    <cfRule type="cellIs" dxfId="1821" priority="1447" stopIfTrue="1" operator="equal">
      <formula>#REF!</formula>
    </cfRule>
  </conditionalFormatting>
  <conditionalFormatting sqref="P11 P13 P15 P19 P21 P23 P25">
    <cfRule type="cellIs" dxfId="1820" priority="1446" stopIfTrue="1" operator="equal">
      <formula>#REF!</formula>
    </cfRule>
  </conditionalFormatting>
  <conditionalFormatting sqref="P11 P13 P15 P19 P21 P23 P25">
    <cfRule type="cellIs" dxfId="1819" priority="1445" stopIfTrue="1" operator="equal">
      <formula>#REF!</formula>
    </cfRule>
  </conditionalFormatting>
  <conditionalFormatting sqref="P19">
    <cfRule type="cellIs" dxfId="1818" priority="1443" stopIfTrue="1" operator="equal">
      <formula>#REF!</formula>
    </cfRule>
  </conditionalFormatting>
  <conditionalFormatting sqref="P19">
    <cfRule type="cellIs" dxfId="1817" priority="1442" stopIfTrue="1" operator="equal">
      <formula>#REF!</formula>
    </cfRule>
  </conditionalFormatting>
  <conditionalFormatting sqref="P30">
    <cfRule type="cellIs" dxfId="1816" priority="1441" stopIfTrue="1" operator="equal">
      <formula>#REF!</formula>
    </cfRule>
  </conditionalFormatting>
  <conditionalFormatting sqref="P30">
    <cfRule type="cellIs" dxfId="1815" priority="1440" stopIfTrue="1" operator="equal">
      <formula>#REF!</formula>
    </cfRule>
  </conditionalFormatting>
  <conditionalFormatting sqref="P30">
    <cfRule type="cellIs" dxfId="1814" priority="1439" stopIfTrue="1" operator="equal">
      <formula>#REF!</formula>
    </cfRule>
  </conditionalFormatting>
  <conditionalFormatting sqref="P30">
    <cfRule type="cellIs" dxfId="1813" priority="1438" stopIfTrue="1" operator="equal">
      <formula>#REF!</formula>
    </cfRule>
  </conditionalFormatting>
  <conditionalFormatting sqref="P30">
    <cfRule type="cellIs" dxfId="1812" priority="1436" stopIfTrue="1" operator="equal">
      <formula>#REF!</formula>
    </cfRule>
  </conditionalFormatting>
  <conditionalFormatting sqref="P30">
    <cfRule type="cellIs" dxfId="1811" priority="1435" stopIfTrue="1" operator="equal">
      <formula>#REF!</formula>
    </cfRule>
  </conditionalFormatting>
  <conditionalFormatting sqref="P30">
    <cfRule type="cellIs" dxfId="1810" priority="1434" stopIfTrue="1" operator="equal">
      <formula>#REF!</formula>
    </cfRule>
  </conditionalFormatting>
  <conditionalFormatting sqref="P30">
    <cfRule type="cellIs" dxfId="1809" priority="1433" stopIfTrue="1" operator="equal">
      <formula>#REF!</formula>
    </cfRule>
  </conditionalFormatting>
  <conditionalFormatting sqref="P30">
    <cfRule type="cellIs" dxfId="1808" priority="1432" stopIfTrue="1" operator="equal">
      <formula>#REF!</formula>
    </cfRule>
  </conditionalFormatting>
  <conditionalFormatting sqref="P31">
    <cfRule type="cellIs" dxfId="1807" priority="1431" stopIfTrue="1" operator="equal">
      <formula>#REF!</formula>
    </cfRule>
  </conditionalFormatting>
  <conditionalFormatting sqref="P31">
    <cfRule type="cellIs" dxfId="1806" priority="1430" stopIfTrue="1" operator="equal">
      <formula>#REF!</formula>
    </cfRule>
  </conditionalFormatting>
  <conditionalFormatting sqref="P31">
    <cfRule type="cellIs" dxfId="1805" priority="1429" stopIfTrue="1" operator="equal">
      <formula>#REF!</formula>
    </cfRule>
  </conditionalFormatting>
  <conditionalFormatting sqref="P31">
    <cfRule type="cellIs" dxfId="1804" priority="1428" stopIfTrue="1" operator="equal">
      <formula>#REF!</formula>
    </cfRule>
  </conditionalFormatting>
  <conditionalFormatting sqref="P31">
    <cfRule type="cellIs" dxfId="1803" priority="1427" stopIfTrue="1" operator="equal">
      <formula>#REF!</formula>
    </cfRule>
  </conditionalFormatting>
  <conditionalFormatting sqref="P31">
    <cfRule type="cellIs" dxfId="1802" priority="1426" stopIfTrue="1" operator="equal">
      <formula>#REF!</formula>
    </cfRule>
  </conditionalFormatting>
  <conditionalFormatting sqref="P31">
    <cfRule type="cellIs" dxfId="1801" priority="1425" stopIfTrue="1" operator="equal">
      <formula>#REF!</formula>
    </cfRule>
  </conditionalFormatting>
  <conditionalFormatting sqref="P31">
    <cfRule type="cellIs" dxfId="1800" priority="1424" stopIfTrue="1" operator="equal">
      <formula>#REF!</formula>
    </cfRule>
  </conditionalFormatting>
  <conditionalFormatting sqref="P31">
    <cfRule type="cellIs" dxfId="1799" priority="1423" stopIfTrue="1" operator="equal">
      <formula>#REF!</formula>
    </cfRule>
  </conditionalFormatting>
  <conditionalFormatting sqref="P31">
    <cfRule type="cellIs" dxfId="1798" priority="1422" stopIfTrue="1" operator="equal">
      <formula>#REF!</formula>
    </cfRule>
  </conditionalFormatting>
  <conditionalFormatting sqref="P31">
    <cfRule type="cellIs" dxfId="1797" priority="1421" stopIfTrue="1" operator="equal">
      <formula>#REF!</formula>
    </cfRule>
  </conditionalFormatting>
  <conditionalFormatting sqref="P31">
    <cfRule type="cellIs" dxfId="1796" priority="1420" stopIfTrue="1" operator="equal">
      <formula>#REF!</formula>
    </cfRule>
  </conditionalFormatting>
  <conditionalFormatting sqref="P31">
    <cfRule type="cellIs" dxfId="1795" priority="1419" stopIfTrue="1" operator="equal">
      <formula>#REF!</formula>
    </cfRule>
  </conditionalFormatting>
  <conditionalFormatting sqref="P31">
    <cfRule type="cellIs" dxfId="1794" priority="1418" stopIfTrue="1" operator="equal">
      <formula>#REF!</formula>
    </cfRule>
  </conditionalFormatting>
  <conditionalFormatting sqref="P31">
    <cfRule type="cellIs" dxfId="1793" priority="1417" stopIfTrue="1" operator="equal">
      <formula>#REF!</formula>
    </cfRule>
  </conditionalFormatting>
  <conditionalFormatting sqref="P31">
    <cfRule type="cellIs" dxfId="1792" priority="1416" stopIfTrue="1" operator="equal">
      <formula>#REF!</formula>
    </cfRule>
  </conditionalFormatting>
  <conditionalFormatting sqref="P31">
    <cfRule type="cellIs" dxfId="1791" priority="1415" stopIfTrue="1" operator="equal">
      <formula>#REF!</formula>
    </cfRule>
  </conditionalFormatting>
  <conditionalFormatting sqref="P31">
    <cfRule type="cellIs" dxfId="1790" priority="1414" stopIfTrue="1" operator="equal">
      <formula>#REF!</formula>
    </cfRule>
  </conditionalFormatting>
  <conditionalFormatting sqref="P31">
    <cfRule type="cellIs" dxfId="1789" priority="1413" stopIfTrue="1" operator="equal">
      <formula>#REF!</formula>
    </cfRule>
  </conditionalFormatting>
  <conditionalFormatting sqref="P31">
    <cfRule type="cellIs" dxfId="1788" priority="1412" stopIfTrue="1" operator="equal">
      <formula>#REF!</formula>
    </cfRule>
  </conditionalFormatting>
  <conditionalFormatting sqref="P31">
    <cfRule type="cellIs" dxfId="1787" priority="1411" stopIfTrue="1" operator="equal">
      <formula>#REF!</formula>
    </cfRule>
  </conditionalFormatting>
  <conditionalFormatting sqref="P32">
    <cfRule type="cellIs" dxfId="1786" priority="1410" stopIfTrue="1" operator="equal">
      <formula>#REF!</formula>
    </cfRule>
  </conditionalFormatting>
  <conditionalFormatting sqref="P32">
    <cfRule type="cellIs" dxfId="1785" priority="1409" stopIfTrue="1" operator="equal">
      <formula>#REF!</formula>
    </cfRule>
  </conditionalFormatting>
  <conditionalFormatting sqref="P32">
    <cfRule type="cellIs" dxfId="1784" priority="1408" stopIfTrue="1" operator="equal">
      <formula>#REF!</formula>
    </cfRule>
  </conditionalFormatting>
  <conditionalFormatting sqref="P32">
    <cfRule type="cellIs" dxfId="1783" priority="1407" stopIfTrue="1" operator="equal">
      <formula>#REF!</formula>
    </cfRule>
  </conditionalFormatting>
  <conditionalFormatting sqref="P32">
    <cfRule type="cellIs" dxfId="1782" priority="1406" stopIfTrue="1" operator="equal">
      <formula>#REF!</formula>
    </cfRule>
  </conditionalFormatting>
  <conditionalFormatting sqref="P32">
    <cfRule type="cellIs" dxfId="1781" priority="1404" stopIfTrue="1" operator="equal">
      <formula>#REF!</formula>
    </cfRule>
  </conditionalFormatting>
  <conditionalFormatting sqref="P32">
    <cfRule type="cellIs" dxfId="1780" priority="1403" stopIfTrue="1" operator="equal">
      <formula>#REF!</formula>
    </cfRule>
  </conditionalFormatting>
  <conditionalFormatting sqref="P32">
    <cfRule type="cellIs" dxfId="1779" priority="1402" stopIfTrue="1" operator="equal">
      <formula>#REF!</formula>
    </cfRule>
  </conditionalFormatting>
  <conditionalFormatting sqref="P32">
    <cfRule type="cellIs" dxfId="1778" priority="1401" stopIfTrue="1" operator="equal">
      <formula>#REF!</formula>
    </cfRule>
  </conditionalFormatting>
  <conditionalFormatting sqref="P32">
    <cfRule type="cellIs" dxfId="1777" priority="1400" stopIfTrue="1" operator="equal">
      <formula>#REF!</formula>
    </cfRule>
  </conditionalFormatting>
  <conditionalFormatting sqref="P32">
    <cfRule type="cellIs" dxfId="1776" priority="1399" stopIfTrue="1" operator="equal">
      <formula>#REF!</formula>
    </cfRule>
  </conditionalFormatting>
  <conditionalFormatting sqref="P32">
    <cfRule type="cellIs" dxfId="1775" priority="1398" stopIfTrue="1" operator="equal">
      <formula>#REF!</formula>
    </cfRule>
  </conditionalFormatting>
  <conditionalFormatting sqref="P32">
    <cfRule type="cellIs" dxfId="1774" priority="1396" stopIfTrue="1" operator="equal">
      <formula>#REF!</formula>
    </cfRule>
  </conditionalFormatting>
  <conditionalFormatting sqref="P32">
    <cfRule type="cellIs" dxfId="1773" priority="1395" stopIfTrue="1" operator="equal">
      <formula>#REF!</formula>
    </cfRule>
  </conditionalFormatting>
  <conditionalFormatting sqref="P32">
    <cfRule type="cellIs" dxfId="1772" priority="1394" stopIfTrue="1" operator="equal">
      <formula>#REF!</formula>
    </cfRule>
  </conditionalFormatting>
  <conditionalFormatting sqref="P32">
    <cfRule type="cellIs" dxfId="1771" priority="1393" stopIfTrue="1" operator="equal">
      <formula>#REF!</formula>
    </cfRule>
  </conditionalFormatting>
  <conditionalFormatting sqref="P32">
    <cfRule type="cellIs" dxfId="1770" priority="1392" stopIfTrue="1" operator="equal">
      <formula>#REF!</formula>
    </cfRule>
  </conditionalFormatting>
  <conditionalFormatting sqref="P32">
    <cfRule type="cellIs" dxfId="1769" priority="1391" stopIfTrue="1" operator="equal">
      <formula>#REF!</formula>
    </cfRule>
  </conditionalFormatting>
  <conditionalFormatting sqref="P32">
    <cfRule type="cellIs" dxfId="1768" priority="1390" stopIfTrue="1" operator="equal">
      <formula>#REF!</formula>
    </cfRule>
  </conditionalFormatting>
  <conditionalFormatting sqref="P44">
    <cfRule type="cellIs" dxfId="1767" priority="1389" stopIfTrue="1" operator="equal">
      <formula>#REF!</formula>
    </cfRule>
  </conditionalFormatting>
  <conditionalFormatting sqref="P44">
    <cfRule type="cellIs" dxfId="1766" priority="1388" stopIfTrue="1" operator="equal">
      <formula>#REF!</formula>
    </cfRule>
  </conditionalFormatting>
  <conditionalFormatting sqref="P44">
    <cfRule type="cellIs" dxfId="1765" priority="1387" stopIfTrue="1" operator="equal">
      <formula>#REF!</formula>
    </cfRule>
  </conditionalFormatting>
  <conditionalFormatting sqref="P44">
    <cfRule type="cellIs" dxfId="1764" priority="1386" stopIfTrue="1" operator="equal">
      <formula>#REF!</formula>
    </cfRule>
  </conditionalFormatting>
  <conditionalFormatting sqref="P44">
    <cfRule type="cellIs" dxfId="1763" priority="1385" stopIfTrue="1" operator="equal">
      <formula>#REF!</formula>
    </cfRule>
  </conditionalFormatting>
  <conditionalFormatting sqref="P44">
    <cfRule type="cellIs" dxfId="1762" priority="1383" stopIfTrue="1" operator="equal">
      <formula>#REF!</formula>
    </cfRule>
  </conditionalFormatting>
  <conditionalFormatting sqref="P44">
    <cfRule type="cellIs" dxfId="1761" priority="1382" stopIfTrue="1" operator="equal">
      <formula>#REF!</formula>
    </cfRule>
  </conditionalFormatting>
  <conditionalFormatting sqref="P44">
    <cfRule type="cellIs" dxfId="1760" priority="1381" stopIfTrue="1" operator="equal">
      <formula>#REF!</formula>
    </cfRule>
  </conditionalFormatting>
  <conditionalFormatting sqref="P44">
    <cfRule type="cellIs" dxfId="1759" priority="1380" stopIfTrue="1" operator="equal">
      <formula>#REF!</formula>
    </cfRule>
  </conditionalFormatting>
  <conditionalFormatting sqref="P44">
    <cfRule type="cellIs" dxfId="1758" priority="1379" stopIfTrue="1" operator="equal">
      <formula>#REF!</formula>
    </cfRule>
  </conditionalFormatting>
  <conditionalFormatting sqref="P44">
    <cfRule type="cellIs" dxfId="1757" priority="1378" stopIfTrue="1" operator="equal">
      <formula>#REF!</formula>
    </cfRule>
  </conditionalFormatting>
  <conditionalFormatting sqref="P44">
    <cfRule type="cellIs" dxfId="1756" priority="1377" stopIfTrue="1" operator="equal">
      <formula>#REF!</formula>
    </cfRule>
  </conditionalFormatting>
  <conditionalFormatting sqref="P44">
    <cfRule type="cellIs" dxfId="1755" priority="1376" stopIfTrue="1" operator="equal">
      <formula>#REF!</formula>
    </cfRule>
  </conditionalFormatting>
  <conditionalFormatting sqref="P44">
    <cfRule type="cellIs" dxfId="1754" priority="1375" stopIfTrue="1" operator="equal">
      <formula>#REF!</formula>
    </cfRule>
  </conditionalFormatting>
  <conditionalFormatting sqref="P44">
    <cfRule type="cellIs" dxfId="1753" priority="1374" stopIfTrue="1" operator="equal">
      <formula>#REF!</formula>
    </cfRule>
  </conditionalFormatting>
  <conditionalFormatting sqref="P44">
    <cfRule type="cellIs" dxfId="1752" priority="1373" stopIfTrue="1" operator="equal">
      <formula>#REF!</formula>
    </cfRule>
  </conditionalFormatting>
  <conditionalFormatting sqref="P44">
    <cfRule type="cellIs" dxfId="1751" priority="1372" stopIfTrue="1" operator="equal">
      <formula>#REF!</formula>
    </cfRule>
  </conditionalFormatting>
  <conditionalFormatting sqref="P44">
    <cfRule type="cellIs" dxfId="1750" priority="1371" stopIfTrue="1" operator="equal">
      <formula>#REF!</formula>
    </cfRule>
  </conditionalFormatting>
  <conditionalFormatting sqref="P44">
    <cfRule type="cellIs" dxfId="1749" priority="1370" stopIfTrue="1" operator="equal">
      <formula>#REF!</formula>
    </cfRule>
  </conditionalFormatting>
  <conditionalFormatting sqref="P44">
    <cfRule type="cellIs" dxfId="1748" priority="1369" stopIfTrue="1" operator="equal">
      <formula>#REF!</formula>
    </cfRule>
  </conditionalFormatting>
  <conditionalFormatting sqref="P44">
    <cfRule type="cellIs" dxfId="1747" priority="1368" stopIfTrue="1" operator="equal">
      <formula>#REF!</formula>
    </cfRule>
  </conditionalFormatting>
  <conditionalFormatting sqref="P44">
    <cfRule type="cellIs" dxfId="1746" priority="1367" stopIfTrue="1" operator="equal">
      <formula>#REF!</formula>
    </cfRule>
  </conditionalFormatting>
  <conditionalFormatting sqref="P44">
    <cfRule type="cellIs" dxfId="1745" priority="1366" stopIfTrue="1" operator="equal">
      <formula>#REF!</formula>
    </cfRule>
  </conditionalFormatting>
  <conditionalFormatting sqref="P44">
    <cfRule type="cellIs" dxfId="1744" priority="1365" stopIfTrue="1" operator="equal">
      <formula>#REF!</formula>
    </cfRule>
  </conditionalFormatting>
  <conditionalFormatting sqref="P44">
    <cfRule type="cellIs" dxfId="1743" priority="1364" stopIfTrue="1" operator="equal">
      <formula>#REF!</formula>
    </cfRule>
  </conditionalFormatting>
  <conditionalFormatting sqref="P44">
    <cfRule type="cellIs" dxfId="1742" priority="1363" stopIfTrue="1" operator="equal">
      <formula>#REF!</formula>
    </cfRule>
  </conditionalFormatting>
  <conditionalFormatting sqref="P44">
    <cfRule type="cellIs" dxfId="1741" priority="1362" stopIfTrue="1" operator="equal">
      <formula>#REF!</formula>
    </cfRule>
  </conditionalFormatting>
  <conditionalFormatting sqref="P44">
    <cfRule type="cellIs" dxfId="1740" priority="1361" stopIfTrue="1" operator="equal">
      <formula>#REF!</formula>
    </cfRule>
  </conditionalFormatting>
  <conditionalFormatting sqref="P44">
    <cfRule type="cellIs" dxfId="1739" priority="1360" stopIfTrue="1" operator="equal">
      <formula>#REF!</formula>
    </cfRule>
  </conditionalFormatting>
  <conditionalFormatting sqref="P44">
    <cfRule type="cellIs" dxfId="1738" priority="1359" stopIfTrue="1" operator="equal">
      <formula>#REF!</formula>
    </cfRule>
  </conditionalFormatting>
  <conditionalFormatting sqref="O18:P18">
    <cfRule type="cellIs" dxfId="1737" priority="338" stopIfTrue="1" operator="equal">
      <formula>#REF!</formula>
    </cfRule>
  </conditionalFormatting>
  <conditionalFormatting sqref="P18">
    <cfRule type="cellIs" dxfId="1736" priority="337" stopIfTrue="1" operator="equal">
      <formula>#REF!</formula>
    </cfRule>
  </conditionalFormatting>
  <conditionalFormatting sqref="P18">
    <cfRule type="cellIs" dxfId="1735" priority="336" stopIfTrue="1" operator="equal">
      <formula>#REF!</formula>
    </cfRule>
  </conditionalFormatting>
  <conditionalFormatting sqref="P18">
    <cfRule type="cellIs" dxfId="1734" priority="335" stopIfTrue="1" operator="equal">
      <formula>#REF!</formula>
    </cfRule>
  </conditionalFormatting>
  <conditionalFormatting sqref="P18">
    <cfRule type="cellIs" dxfId="1733" priority="334" stopIfTrue="1" operator="equal">
      <formula>#REF!</formula>
    </cfRule>
  </conditionalFormatting>
  <conditionalFormatting sqref="P40:P41">
    <cfRule type="cellIs" dxfId="1732" priority="229" stopIfTrue="1" operator="equal">
      <formula>#REF!</formula>
    </cfRule>
  </conditionalFormatting>
  <conditionalFormatting sqref="P40:P41">
    <cfRule type="cellIs" dxfId="1731" priority="228" stopIfTrue="1" operator="equal">
      <formula>#REF!</formula>
    </cfRule>
  </conditionalFormatting>
  <conditionalFormatting sqref="P40:P41">
    <cfRule type="cellIs" dxfId="1730" priority="227" stopIfTrue="1" operator="equal">
      <formula>#REF!</formula>
    </cfRule>
  </conditionalFormatting>
  <conditionalFormatting sqref="P40:P41">
    <cfRule type="cellIs" dxfId="1729" priority="226" stopIfTrue="1" operator="equal">
      <formula>#REF!</formula>
    </cfRule>
  </conditionalFormatting>
  <conditionalFormatting sqref="P40:P41">
    <cfRule type="cellIs" dxfId="1728" priority="225" stopIfTrue="1" operator="equal">
      <formula>#REF!</formula>
    </cfRule>
  </conditionalFormatting>
  <conditionalFormatting sqref="P40:P41">
    <cfRule type="cellIs" dxfId="1727" priority="224" stopIfTrue="1" operator="equal">
      <formula>#REF!</formula>
    </cfRule>
  </conditionalFormatting>
  <conditionalFormatting sqref="P40:P41">
    <cfRule type="cellIs" dxfId="1726" priority="223" stopIfTrue="1" operator="equal">
      <formula>#REF!</formula>
    </cfRule>
  </conditionalFormatting>
  <conditionalFormatting sqref="P40:P41">
    <cfRule type="cellIs" dxfId="1725" priority="222" stopIfTrue="1" operator="equal">
      <formula>#REF!</formula>
    </cfRule>
  </conditionalFormatting>
  <conditionalFormatting sqref="P40:P41">
    <cfRule type="cellIs" dxfId="1724" priority="221" stopIfTrue="1" operator="equal">
      <formula>#REF!</formula>
    </cfRule>
  </conditionalFormatting>
  <conditionalFormatting sqref="P40:P41">
    <cfRule type="cellIs" dxfId="1723" priority="220" stopIfTrue="1" operator="equal">
      <formula>#REF!</formula>
    </cfRule>
  </conditionalFormatting>
  <conditionalFormatting sqref="P40:P41">
    <cfRule type="cellIs" dxfId="1722" priority="219" stopIfTrue="1" operator="equal">
      <formula>#REF!</formula>
    </cfRule>
  </conditionalFormatting>
  <conditionalFormatting sqref="P40:P41">
    <cfRule type="cellIs" dxfId="1721" priority="218" stopIfTrue="1" operator="equal">
      <formula>#REF!</formula>
    </cfRule>
  </conditionalFormatting>
  <conditionalFormatting sqref="P40:P41">
    <cfRule type="cellIs" dxfId="1720" priority="217" stopIfTrue="1" operator="equal">
      <formula>#REF!</formula>
    </cfRule>
  </conditionalFormatting>
  <conditionalFormatting sqref="P40:P41">
    <cfRule type="cellIs" dxfId="1719" priority="216" stopIfTrue="1" operator="equal">
      <formula>#REF!</formula>
    </cfRule>
  </conditionalFormatting>
  <conditionalFormatting sqref="P40:P41">
    <cfRule type="cellIs" dxfId="1718" priority="215" stopIfTrue="1" operator="equal">
      <formula>#REF!</formula>
    </cfRule>
  </conditionalFormatting>
  <conditionalFormatting sqref="P40:P41">
    <cfRule type="cellIs" dxfId="1717" priority="214" stopIfTrue="1" operator="equal">
      <formula>#REF!</formula>
    </cfRule>
  </conditionalFormatting>
  <conditionalFormatting sqref="P40:P41">
    <cfRule type="cellIs" dxfId="1716" priority="213" stopIfTrue="1" operator="equal">
      <formula>#REF!</formula>
    </cfRule>
  </conditionalFormatting>
  <conditionalFormatting sqref="P40:P41">
    <cfRule type="cellIs" dxfId="1715" priority="212" stopIfTrue="1" operator="equal">
      <formula>#REF!</formula>
    </cfRule>
  </conditionalFormatting>
  <conditionalFormatting sqref="P40:P41">
    <cfRule type="cellIs" dxfId="1714" priority="211" stopIfTrue="1" operator="equal">
      <formula>#REF!</formula>
    </cfRule>
  </conditionalFormatting>
  <conditionalFormatting sqref="P40:P41">
    <cfRule type="cellIs" dxfId="1713" priority="210" stopIfTrue="1" operator="equal">
      <formula>#REF!</formula>
    </cfRule>
  </conditionalFormatting>
  <conditionalFormatting sqref="P40:P41">
    <cfRule type="cellIs" dxfId="1712" priority="209" stopIfTrue="1" operator="equal">
      <formula>#REF!</formula>
    </cfRule>
  </conditionalFormatting>
  <conditionalFormatting sqref="P40:P41">
    <cfRule type="cellIs" dxfId="1711" priority="208" stopIfTrue="1" operator="equal">
      <formula>#REF!</formula>
    </cfRule>
  </conditionalFormatting>
  <conditionalFormatting sqref="P40:P41">
    <cfRule type="cellIs" dxfId="1710" priority="207" stopIfTrue="1" operator="equal">
      <formula>#REF!</formula>
    </cfRule>
  </conditionalFormatting>
  <conditionalFormatting sqref="P40:P41">
    <cfRule type="cellIs" dxfId="1709" priority="206" stopIfTrue="1" operator="equal">
      <formula>#REF!</formula>
    </cfRule>
  </conditionalFormatting>
  <conditionalFormatting sqref="P40:P41">
    <cfRule type="cellIs" dxfId="1708" priority="205" stopIfTrue="1" operator="equal">
      <formula>#REF!</formula>
    </cfRule>
  </conditionalFormatting>
  <conditionalFormatting sqref="P40:P41">
    <cfRule type="cellIs" dxfId="1707" priority="204" stopIfTrue="1" operator="equal">
      <formula>#REF!</formula>
    </cfRule>
  </conditionalFormatting>
  <conditionalFormatting sqref="P40:P41">
    <cfRule type="cellIs" dxfId="1706" priority="203" stopIfTrue="1" operator="equal">
      <formula>#REF!</formula>
    </cfRule>
  </conditionalFormatting>
  <conditionalFormatting sqref="P40:P41">
    <cfRule type="cellIs" dxfId="1705" priority="202" stopIfTrue="1" operator="equal">
      <formula>#REF!</formula>
    </cfRule>
  </conditionalFormatting>
  <conditionalFormatting sqref="P40:P41">
    <cfRule type="cellIs" dxfId="1704" priority="201" stopIfTrue="1" operator="equal">
      <formula>#REF!</formula>
    </cfRule>
  </conditionalFormatting>
  <conditionalFormatting sqref="P40:P41">
    <cfRule type="cellIs" dxfId="1703" priority="200" stopIfTrue="1" operator="equal">
      <formula>#REF!</formula>
    </cfRule>
  </conditionalFormatting>
  <conditionalFormatting sqref="P40:P41">
    <cfRule type="cellIs" dxfId="1702" priority="199" stopIfTrue="1" operator="equal">
      <formula>#REF!</formula>
    </cfRule>
  </conditionalFormatting>
  <conditionalFormatting sqref="P44">
    <cfRule type="cellIs" dxfId="1701" priority="198" stopIfTrue="1" operator="equal">
      <formula>#REF!</formula>
    </cfRule>
  </conditionalFormatting>
  <conditionalFormatting sqref="P44">
    <cfRule type="cellIs" dxfId="1700" priority="197" stopIfTrue="1" operator="equal">
      <formula>#REF!</formula>
    </cfRule>
  </conditionalFormatting>
  <conditionalFormatting sqref="P44">
    <cfRule type="cellIs" dxfId="1699" priority="196" stopIfTrue="1" operator="equal">
      <formula>#REF!</formula>
    </cfRule>
  </conditionalFormatting>
  <conditionalFormatting sqref="P44">
    <cfRule type="cellIs" dxfId="1698" priority="195" stopIfTrue="1" operator="equal">
      <formula>#REF!</formula>
    </cfRule>
  </conditionalFormatting>
  <conditionalFormatting sqref="P44">
    <cfRule type="cellIs" dxfId="1697" priority="194" stopIfTrue="1" operator="equal">
      <formula>#REF!</formula>
    </cfRule>
  </conditionalFormatting>
  <conditionalFormatting sqref="P44">
    <cfRule type="cellIs" dxfId="1696" priority="193" stopIfTrue="1" operator="equal">
      <formula>#REF!</formula>
    </cfRule>
  </conditionalFormatting>
  <conditionalFormatting sqref="P44">
    <cfRule type="cellIs" dxfId="1695" priority="192" stopIfTrue="1" operator="equal">
      <formula>#REF!</formula>
    </cfRule>
  </conditionalFormatting>
  <conditionalFormatting sqref="P44">
    <cfRule type="cellIs" dxfId="1694" priority="191" stopIfTrue="1" operator="equal">
      <formula>#REF!</formula>
    </cfRule>
  </conditionalFormatting>
  <conditionalFormatting sqref="P44">
    <cfRule type="cellIs" dxfId="1693" priority="190" stopIfTrue="1" operator="equal">
      <formula>#REF!</formula>
    </cfRule>
  </conditionalFormatting>
  <conditionalFormatting sqref="P44">
    <cfRule type="cellIs" dxfId="1692" priority="189" stopIfTrue="1" operator="equal">
      <formula>#REF!</formula>
    </cfRule>
  </conditionalFormatting>
  <conditionalFormatting sqref="P44">
    <cfRule type="cellIs" dxfId="1691" priority="188" stopIfTrue="1" operator="equal">
      <formula>#REF!</formula>
    </cfRule>
  </conditionalFormatting>
  <conditionalFormatting sqref="P44">
    <cfRule type="cellIs" dxfId="1690" priority="187" stopIfTrue="1" operator="equal">
      <formula>#REF!</formula>
    </cfRule>
  </conditionalFormatting>
  <conditionalFormatting sqref="P44">
    <cfRule type="cellIs" dxfId="1689" priority="186" stopIfTrue="1" operator="equal">
      <formula>#REF!</formula>
    </cfRule>
  </conditionalFormatting>
  <conditionalFormatting sqref="P44">
    <cfRule type="cellIs" dxfId="1688" priority="185" stopIfTrue="1" operator="equal">
      <formula>#REF!</formula>
    </cfRule>
  </conditionalFormatting>
  <conditionalFormatting sqref="P44">
    <cfRule type="cellIs" dxfId="1687" priority="184" stopIfTrue="1" operator="equal">
      <formula>#REF!</formula>
    </cfRule>
  </conditionalFormatting>
  <conditionalFormatting sqref="P44">
    <cfRule type="cellIs" dxfId="1686" priority="183" stopIfTrue="1" operator="equal">
      <formula>#REF!</formula>
    </cfRule>
  </conditionalFormatting>
  <conditionalFormatting sqref="P44">
    <cfRule type="cellIs" dxfId="1685" priority="182" stopIfTrue="1" operator="equal">
      <formula>#REF!</formula>
    </cfRule>
  </conditionalFormatting>
  <conditionalFormatting sqref="P44">
    <cfRule type="cellIs" dxfId="1684" priority="181" stopIfTrue="1" operator="equal">
      <formula>#REF!</formula>
    </cfRule>
  </conditionalFormatting>
  <conditionalFormatting sqref="P44">
    <cfRule type="cellIs" dxfId="1683" priority="180" stopIfTrue="1" operator="equal">
      <formula>#REF!</formula>
    </cfRule>
  </conditionalFormatting>
  <conditionalFormatting sqref="P44">
    <cfRule type="cellIs" dxfId="1682" priority="179" stopIfTrue="1" operator="equal">
      <formula>#REF!</formula>
    </cfRule>
  </conditionalFormatting>
  <conditionalFormatting sqref="P44">
    <cfRule type="cellIs" dxfId="1681" priority="178" stopIfTrue="1" operator="equal">
      <formula>#REF!</formula>
    </cfRule>
  </conditionalFormatting>
  <conditionalFormatting sqref="P44">
    <cfRule type="cellIs" dxfId="1680" priority="177" stopIfTrue="1" operator="equal">
      <formula>#REF!</formula>
    </cfRule>
  </conditionalFormatting>
  <conditionalFormatting sqref="P44">
    <cfRule type="cellIs" dxfId="1679" priority="176" stopIfTrue="1" operator="equal">
      <formula>#REF!</formula>
    </cfRule>
  </conditionalFormatting>
  <conditionalFormatting sqref="P44">
    <cfRule type="cellIs" dxfId="1678" priority="175" stopIfTrue="1" operator="equal">
      <formula>#REF!</formula>
    </cfRule>
  </conditionalFormatting>
  <conditionalFormatting sqref="P44">
    <cfRule type="cellIs" dxfId="1677" priority="174" stopIfTrue="1" operator="equal">
      <formula>#REF!</formula>
    </cfRule>
  </conditionalFormatting>
  <conditionalFormatting sqref="P44">
    <cfRule type="cellIs" dxfId="1676" priority="173" stopIfTrue="1" operator="equal">
      <formula>#REF!</formula>
    </cfRule>
  </conditionalFormatting>
  <conditionalFormatting sqref="P44">
    <cfRule type="cellIs" dxfId="1675" priority="172" stopIfTrue="1" operator="equal">
      <formula>#REF!</formula>
    </cfRule>
  </conditionalFormatting>
  <conditionalFormatting sqref="P44">
    <cfRule type="cellIs" dxfId="1674" priority="171" stopIfTrue="1" operator="equal">
      <formula>#REF!</formula>
    </cfRule>
  </conditionalFormatting>
  <conditionalFormatting sqref="P44">
    <cfRule type="cellIs" dxfId="1673" priority="170" stopIfTrue="1" operator="equal">
      <formula>#REF!</formula>
    </cfRule>
  </conditionalFormatting>
  <conditionalFormatting sqref="P44">
    <cfRule type="cellIs" dxfId="1672" priority="169" stopIfTrue="1" operator="equal">
      <formula>#REF!</formula>
    </cfRule>
  </conditionalFormatting>
  <conditionalFormatting sqref="P44">
    <cfRule type="cellIs" dxfId="1671" priority="168" stopIfTrue="1" operator="equal">
      <formula>#REF!</formula>
    </cfRule>
  </conditionalFormatting>
  <conditionalFormatting sqref="P44">
    <cfRule type="cellIs" dxfId="1670" priority="167" stopIfTrue="1" operator="equal">
      <formula>#REF!</formula>
    </cfRule>
  </conditionalFormatting>
  <conditionalFormatting sqref="P44">
    <cfRule type="cellIs" dxfId="1669" priority="166" stopIfTrue="1" operator="equal">
      <formula>#REF!</formula>
    </cfRule>
  </conditionalFormatting>
  <conditionalFormatting sqref="P44">
    <cfRule type="cellIs" dxfId="1668" priority="165" stopIfTrue="1" operator="equal">
      <formula>#REF!</formula>
    </cfRule>
  </conditionalFormatting>
  <conditionalFormatting sqref="P44">
    <cfRule type="cellIs" dxfId="1667" priority="164" stopIfTrue="1" operator="equal">
      <formula>#REF!</formula>
    </cfRule>
  </conditionalFormatting>
  <conditionalFormatting sqref="P44">
    <cfRule type="cellIs" dxfId="1666" priority="163" stopIfTrue="1" operator="equal">
      <formula>#REF!</formula>
    </cfRule>
  </conditionalFormatting>
  <conditionalFormatting sqref="P44">
    <cfRule type="cellIs" dxfId="1665" priority="162" stopIfTrue="1" operator="equal">
      <formula>#REF!</formula>
    </cfRule>
  </conditionalFormatting>
  <conditionalFormatting sqref="P44">
    <cfRule type="cellIs" dxfId="1664" priority="161" stopIfTrue="1" operator="equal">
      <formula>#REF!</formula>
    </cfRule>
  </conditionalFormatting>
  <conditionalFormatting sqref="P44">
    <cfRule type="cellIs" dxfId="1663" priority="160" stopIfTrue="1" operator="equal">
      <formula>#REF!</formula>
    </cfRule>
  </conditionalFormatting>
  <conditionalFormatting sqref="P44">
    <cfRule type="cellIs" dxfId="1662" priority="159" stopIfTrue="1" operator="equal">
      <formula>#REF!</formula>
    </cfRule>
  </conditionalFormatting>
  <conditionalFormatting sqref="P44">
    <cfRule type="cellIs" dxfId="1661" priority="158" stopIfTrue="1" operator="equal">
      <formula>#REF!</formula>
    </cfRule>
  </conditionalFormatting>
  <conditionalFormatting sqref="P42">
    <cfRule type="cellIs" dxfId="1660" priority="157" stopIfTrue="1" operator="equal">
      <formula>#REF!</formula>
    </cfRule>
  </conditionalFormatting>
  <conditionalFormatting sqref="O45:P45">
    <cfRule type="cellIs" dxfId="1659" priority="156" stopIfTrue="1" operator="equal">
      <formula>#REF!</formula>
    </cfRule>
  </conditionalFormatting>
  <conditionalFormatting sqref="O45:P45">
    <cfRule type="cellIs" dxfId="1658" priority="155" stopIfTrue="1" operator="equal">
      <formula>#REF!</formula>
    </cfRule>
  </conditionalFormatting>
  <conditionalFormatting sqref="O45:P45">
    <cfRule type="cellIs" dxfId="1657" priority="154" stopIfTrue="1" operator="equal">
      <formula>#REF!</formula>
    </cfRule>
  </conditionalFormatting>
  <conditionalFormatting sqref="O45:P45">
    <cfRule type="cellIs" dxfId="1656" priority="153" stopIfTrue="1" operator="equal">
      <formula>#REF!</formula>
    </cfRule>
  </conditionalFormatting>
  <conditionalFormatting sqref="O45:P45">
    <cfRule type="cellIs" dxfId="1655" priority="152" stopIfTrue="1" operator="equal">
      <formula>#REF!</formula>
    </cfRule>
  </conditionalFormatting>
  <conditionalFormatting sqref="O45:P45">
    <cfRule type="cellIs" dxfId="1654" priority="151" stopIfTrue="1" operator="equal">
      <formula>#REF!</formula>
    </cfRule>
  </conditionalFormatting>
  <conditionalFormatting sqref="O45:P45">
    <cfRule type="cellIs" dxfId="1653" priority="150" stopIfTrue="1" operator="equal">
      <formula>#REF!</formula>
    </cfRule>
  </conditionalFormatting>
  <conditionalFormatting sqref="O45:P45">
    <cfRule type="cellIs" dxfId="1652" priority="149" stopIfTrue="1" operator="equal">
      <formula>#REF!</formula>
    </cfRule>
  </conditionalFormatting>
  <conditionalFormatting sqref="O45:P45">
    <cfRule type="cellIs" dxfId="1651" priority="148" stopIfTrue="1" operator="equal">
      <formula>#REF!</formula>
    </cfRule>
  </conditionalFormatting>
  <conditionalFormatting sqref="O45:P45">
    <cfRule type="cellIs" dxfId="1650" priority="147" stopIfTrue="1" operator="equal">
      <formula>#REF!</formula>
    </cfRule>
  </conditionalFormatting>
  <conditionalFormatting sqref="O45:P45">
    <cfRule type="cellIs" dxfId="1649" priority="146" stopIfTrue="1" operator="equal">
      <formula>#REF!</formula>
    </cfRule>
  </conditionalFormatting>
  <conditionalFormatting sqref="P45">
    <cfRule type="cellIs" dxfId="1648" priority="130" stopIfTrue="1" operator="equal">
      <formula>#REF!</formula>
    </cfRule>
  </conditionalFormatting>
  <conditionalFormatting sqref="O45:P45">
    <cfRule type="cellIs" dxfId="1647" priority="145" stopIfTrue="1" operator="equal">
      <formula>#REF!</formula>
    </cfRule>
  </conditionalFormatting>
  <conditionalFormatting sqref="O45:P45">
    <cfRule type="cellIs" dxfId="1646" priority="144" stopIfTrue="1" operator="equal">
      <formula>#REF!</formula>
    </cfRule>
  </conditionalFormatting>
  <conditionalFormatting sqref="O45:P45">
    <cfRule type="cellIs" dxfId="1645" priority="143" stopIfTrue="1" operator="equal">
      <formula>#REF!</formula>
    </cfRule>
  </conditionalFormatting>
  <conditionalFormatting sqref="O45:P45">
    <cfRule type="cellIs" dxfId="1644" priority="142" stopIfTrue="1" operator="equal">
      <formula>#REF!</formula>
    </cfRule>
  </conditionalFormatting>
  <conditionalFormatting sqref="O45:P45">
    <cfRule type="cellIs" dxfId="1643" priority="141" stopIfTrue="1" operator="equal">
      <formula>#REF!</formula>
    </cfRule>
  </conditionalFormatting>
  <conditionalFormatting sqref="O45:P45">
    <cfRule type="cellIs" dxfId="1642" priority="140" stopIfTrue="1" operator="equal">
      <formula>#REF!</formula>
    </cfRule>
  </conditionalFormatting>
  <conditionalFormatting sqref="O45:P45">
    <cfRule type="cellIs" dxfId="1641" priority="139" stopIfTrue="1" operator="equal">
      <formula>#REF!</formula>
    </cfRule>
  </conditionalFormatting>
  <conditionalFormatting sqref="O45:P45">
    <cfRule type="cellIs" dxfId="1640" priority="138" stopIfTrue="1" operator="equal">
      <formula>#REF!</formula>
    </cfRule>
  </conditionalFormatting>
  <conditionalFormatting sqref="O45:P45">
    <cfRule type="cellIs" dxfId="1639" priority="137" stopIfTrue="1" operator="equal">
      <formula>#REF!</formula>
    </cfRule>
  </conditionalFormatting>
  <conditionalFormatting sqref="O45:P45">
    <cfRule type="cellIs" dxfId="1638" priority="136" stopIfTrue="1" operator="equal">
      <formula>#REF!</formula>
    </cfRule>
  </conditionalFormatting>
  <conditionalFormatting sqref="P45">
    <cfRule type="cellIs" dxfId="1637" priority="135" stopIfTrue="1" operator="equal">
      <formula>#REF!</formula>
    </cfRule>
  </conditionalFormatting>
  <conditionalFormatting sqref="P45">
    <cfRule type="cellIs" dxfId="1636" priority="134" stopIfTrue="1" operator="equal">
      <formula>#REF!</formula>
    </cfRule>
  </conditionalFormatting>
  <conditionalFormatting sqref="P45">
    <cfRule type="cellIs" dxfId="1635" priority="133" stopIfTrue="1" operator="equal">
      <formula>#REF!</formula>
    </cfRule>
  </conditionalFormatting>
  <conditionalFormatting sqref="P45">
    <cfRule type="cellIs" dxfId="1634" priority="132" stopIfTrue="1" operator="equal">
      <formula>#REF!</formula>
    </cfRule>
  </conditionalFormatting>
  <conditionalFormatting sqref="P45">
    <cfRule type="cellIs" dxfId="1633" priority="131" stopIfTrue="1" operator="equal">
      <formula>#REF!</formula>
    </cfRule>
  </conditionalFormatting>
  <conditionalFormatting sqref="P45">
    <cfRule type="cellIs" dxfId="1632" priority="129" stopIfTrue="1" operator="equal">
      <formula>#REF!</formula>
    </cfRule>
  </conditionalFormatting>
  <conditionalFormatting sqref="P45">
    <cfRule type="cellIs" dxfId="1631" priority="128" stopIfTrue="1" operator="equal">
      <formula>#REF!</formula>
    </cfRule>
  </conditionalFormatting>
  <conditionalFormatting sqref="P45">
    <cfRule type="cellIs" dxfId="1630" priority="127" stopIfTrue="1" operator="equal">
      <formula>#REF!</formula>
    </cfRule>
  </conditionalFormatting>
  <conditionalFormatting sqref="P45">
    <cfRule type="cellIs" dxfId="1629" priority="126" stopIfTrue="1" operator="equal">
      <formula>#REF!</formula>
    </cfRule>
  </conditionalFormatting>
  <conditionalFormatting sqref="P45">
    <cfRule type="cellIs" dxfId="1628" priority="125" stopIfTrue="1" operator="equal">
      <formula>#REF!</formula>
    </cfRule>
  </conditionalFormatting>
  <conditionalFormatting sqref="P45">
    <cfRule type="cellIs" dxfId="1627" priority="124" stopIfTrue="1" operator="equal">
      <formula>#REF!</formula>
    </cfRule>
  </conditionalFormatting>
  <conditionalFormatting sqref="P45">
    <cfRule type="cellIs" dxfId="1626" priority="123" stopIfTrue="1" operator="equal">
      <formula>#REF!</formula>
    </cfRule>
  </conditionalFormatting>
  <conditionalFormatting sqref="P45">
    <cfRule type="cellIs" dxfId="1625" priority="122" stopIfTrue="1" operator="equal">
      <formula>#REF!</formula>
    </cfRule>
  </conditionalFormatting>
  <conditionalFormatting sqref="P45">
    <cfRule type="cellIs" dxfId="1624" priority="121" stopIfTrue="1" operator="equal">
      <formula>#REF!</formula>
    </cfRule>
  </conditionalFormatting>
  <conditionalFormatting sqref="P45">
    <cfRule type="cellIs" dxfId="1623" priority="120" stopIfTrue="1" operator="equal">
      <formula>#REF!</formula>
    </cfRule>
  </conditionalFormatting>
  <conditionalFormatting sqref="P45">
    <cfRule type="cellIs" dxfId="1622" priority="119" stopIfTrue="1" operator="equal">
      <formula>#REF!</formula>
    </cfRule>
  </conditionalFormatting>
  <conditionalFormatting sqref="P45">
    <cfRule type="cellIs" dxfId="1621" priority="118" stopIfTrue="1" operator="equal">
      <formula>#REF!</formula>
    </cfRule>
  </conditionalFormatting>
  <conditionalFormatting sqref="P45">
    <cfRule type="cellIs" dxfId="1620" priority="117" stopIfTrue="1" operator="equal">
      <formula>#REF!</formula>
    </cfRule>
  </conditionalFormatting>
  <conditionalFormatting sqref="P45">
    <cfRule type="cellIs" dxfId="1619" priority="116" stopIfTrue="1" operator="equal">
      <formula>#REF!</formula>
    </cfRule>
  </conditionalFormatting>
  <conditionalFormatting sqref="P45">
    <cfRule type="cellIs" dxfId="1618" priority="115" stopIfTrue="1" operator="equal">
      <formula>#REF!</formula>
    </cfRule>
  </conditionalFormatting>
  <conditionalFormatting sqref="P45">
    <cfRule type="cellIs" dxfId="1617" priority="114" stopIfTrue="1" operator="equal">
      <formula>#REF!</formula>
    </cfRule>
  </conditionalFormatting>
  <conditionalFormatting sqref="P45">
    <cfRule type="cellIs" dxfId="1616" priority="113" stopIfTrue="1" operator="equal">
      <formula>#REF!</formula>
    </cfRule>
  </conditionalFormatting>
  <conditionalFormatting sqref="P45">
    <cfRule type="cellIs" dxfId="1615" priority="112" stopIfTrue="1" operator="equal">
      <formula>#REF!</formula>
    </cfRule>
  </conditionalFormatting>
  <conditionalFormatting sqref="P45">
    <cfRule type="cellIs" dxfId="1614" priority="111" stopIfTrue="1" operator="equal">
      <formula>#REF!</formula>
    </cfRule>
  </conditionalFormatting>
  <conditionalFormatting sqref="P45">
    <cfRule type="cellIs" dxfId="1613" priority="110" stopIfTrue="1" operator="equal">
      <formula>#REF!</formula>
    </cfRule>
  </conditionalFormatting>
  <conditionalFormatting sqref="P45">
    <cfRule type="cellIs" dxfId="1612" priority="109" stopIfTrue="1" operator="equal">
      <formula>#REF!</formula>
    </cfRule>
  </conditionalFormatting>
  <conditionalFormatting sqref="P45">
    <cfRule type="cellIs" dxfId="1611" priority="108" stopIfTrue="1" operator="equal">
      <formula>#REF!</formula>
    </cfRule>
  </conditionalFormatting>
  <conditionalFormatting sqref="P45">
    <cfRule type="cellIs" dxfId="1610" priority="107" stopIfTrue="1" operator="equal">
      <formula>#REF!</formula>
    </cfRule>
  </conditionalFormatting>
  <conditionalFormatting sqref="P45">
    <cfRule type="cellIs" dxfId="1609" priority="106" stopIfTrue="1" operator="equal">
      <formula>#REF!</formula>
    </cfRule>
  </conditionalFormatting>
  <conditionalFormatting sqref="P45">
    <cfRule type="cellIs" dxfId="1608" priority="105" stopIfTrue="1" operator="equal">
      <formula>#REF!</formula>
    </cfRule>
  </conditionalFormatting>
  <conditionalFormatting sqref="P45">
    <cfRule type="cellIs" dxfId="1607" priority="104" stopIfTrue="1" operator="equal">
      <formula>#REF!</formula>
    </cfRule>
  </conditionalFormatting>
  <conditionalFormatting sqref="P45">
    <cfRule type="cellIs" dxfId="1606" priority="103" stopIfTrue="1" operator="equal">
      <formula>#REF!</formula>
    </cfRule>
  </conditionalFormatting>
  <conditionalFormatting sqref="P45">
    <cfRule type="cellIs" dxfId="1605" priority="102" stopIfTrue="1" operator="equal">
      <formula>#REF!</formula>
    </cfRule>
  </conditionalFormatting>
  <conditionalFormatting sqref="P45">
    <cfRule type="cellIs" dxfId="1604" priority="101" stopIfTrue="1" operator="equal">
      <formula>#REF!</formula>
    </cfRule>
  </conditionalFormatting>
  <conditionalFormatting sqref="P45">
    <cfRule type="cellIs" dxfId="1603" priority="100" stopIfTrue="1" operator="equal">
      <formula>#REF!</formula>
    </cfRule>
  </conditionalFormatting>
  <conditionalFormatting sqref="P45">
    <cfRule type="cellIs" dxfId="1602" priority="99" stopIfTrue="1" operator="equal">
      <formula>#REF!</formula>
    </cfRule>
  </conditionalFormatting>
  <conditionalFormatting sqref="P45">
    <cfRule type="cellIs" dxfId="1601" priority="98" stopIfTrue="1" operator="equal">
      <formula>#REF!</formula>
    </cfRule>
  </conditionalFormatting>
  <conditionalFormatting sqref="P45">
    <cfRule type="cellIs" dxfId="1600" priority="97" stopIfTrue="1" operator="equal">
      <formula>#REF!</formula>
    </cfRule>
  </conditionalFormatting>
  <conditionalFormatting sqref="P45">
    <cfRule type="cellIs" dxfId="1599" priority="96" stopIfTrue="1" operator="equal">
      <formula>#REF!</formula>
    </cfRule>
  </conditionalFormatting>
  <conditionalFormatting sqref="P45">
    <cfRule type="cellIs" dxfId="1598" priority="95" stopIfTrue="1" operator="equal">
      <formula>#REF!</formula>
    </cfRule>
  </conditionalFormatting>
  <conditionalFormatting sqref="P45">
    <cfRule type="cellIs" dxfId="1597" priority="94" stopIfTrue="1" operator="equal">
      <formula>#REF!</formula>
    </cfRule>
  </conditionalFormatting>
  <conditionalFormatting sqref="P45">
    <cfRule type="cellIs" dxfId="1596" priority="93" stopIfTrue="1" operator="equal">
      <formula>#REF!</formula>
    </cfRule>
  </conditionalFormatting>
  <conditionalFormatting sqref="P45">
    <cfRule type="cellIs" dxfId="1595" priority="92" stopIfTrue="1" operator="equal">
      <formula>#REF!</formula>
    </cfRule>
  </conditionalFormatting>
  <conditionalFormatting sqref="P45">
    <cfRule type="cellIs" dxfId="1594" priority="91" stopIfTrue="1" operator="equal">
      <formula>#REF!</formula>
    </cfRule>
  </conditionalFormatting>
  <conditionalFormatting sqref="P45">
    <cfRule type="cellIs" dxfId="1593" priority="90" stopIfTrue="1" operator="equal">
      <formula>#REF!</formula>
    </cfRule>
  </conditionalFormatting>
  <conditionalFormatting sqref="P45">
    <cfRule type="cellIs" dxfId="1592" priority="89" stopIfTrue="1" operator="equal">
      <formula>#REF!</formula>
    </cfRule>
  </conditionalFormatting>
  <conditionalFormatting sqref="P45">
    <cfRule type="cellIs" dxfId="1591" priority="88" stopIfTrue="1" operator="equal">
      <formula>#REF!</formula>
    </cfRule>
  </conditionalFormatting>
  <conditionalFormatting sqref="P45">
    <cfRule type="cellIs" dxfId="1590" priority="87" stopIfTrue="1" operator="equal">
      <formula>#REF!</formula>
    </cfRule>
  </conditionalFormatting>
  <conditionalFormatting sqref="P45">
    <cfRule type="cellIs" dxfId="1589" priority="86" stopIfTrue="1" operator="equal">
      <formula>#REF!</formula>
    </cfRule>
  </conditionalFormatting>
  <conditionalFormatting sqref="P45">
    <cfRule type="cellIs" dxfId="1588" priority="85" stopIfTrue="1" operator="equal">
      <formula>#REF!</formula>
    </cfRule>
  </conditionalFormatting>
  <conditionalFormatting sqref="P45">
    <cfRule type="cellIs" dxfId="1587" priority="84" stopIfTrue="1" operator="equal">
      <formula>#REF!</formula>
    </cfRule>
  </conditionalFormatting>
  <conditionalFormatting sqref="P45">
    <cfRule type="cellIs" dxfId="1586" priority="83" stopIfTrue="1" operator="equal">
      <formula>#REF!</formula>
    </cfRule>
  </conditionalFormatting>
  <conditionalFormatting sqref="P45">
    <cfRule type="cellIs" dxfId="1585" priority="82" stopIfTrue="1" operator="equal">
      <formula>#REF!</formula>
    </cfRule>
  </conditionalFormatting>
  <conditionalFormatting sqref="P45">
    <cfRule type="cellIs" dxfId="1584" priority="81" stopIfTrue="1" operator="equal">
      <formula>#REF!</formula>
    </cfRule>
  </conditionalFormatting>
  <conditionalFormatting sqref="P45">
    <cfRule type="cellIs" dxfId="1583" priority="80" stopIfTrue="1" operator="equal">
      <formula>#REF!</formula>
    </cfRule>
  </conditionalFormatting>
  <conditionalFormatting sqref="P45">
    <cfRule type="cellIs" dxfId="1582" priority="79" stopIfTrue="1" operator="equal">
      <formula>#REF!</formula>
    </cfRule>
  </conditionalFormatting>
  <conditionalFormatting sqref="P45">
    <cfRule type="cellIs" dxfId="1581" priority="78" stopIfTrue="1" operator="equal">
      <formula>#REF!</formula>
    </cfRule>
  </conditionalFormatting>
  <conditionalFormatting sqref="P45">
    <cfRule type="cellIs" dxfId="1580" priority="77" stopIfTrue="1" operator="equal">
      <formula>#REF!</formula>
    </cfRule>
  </conditionalFormatting>
  <conditionalFormatting sqref="P45">
    <cfRule type="cellIs" dxfId="1579" priority="76" stopIfTrue="1" operator="equal">
      <formula>#REF!</formula>
    </cfRule>
  </conditionalFormatting>
  <conditionalFormatting sqref="P45">
    <cfRule type="cellIs" dxfId="1578" priority="75" stopIfTrue="1" operator="equal">
      <formula>#REF!</formula>
    </cfRule>
  </conditionalFormatting>
  <conditionalFormatting sqref="P45">
    <cfRule type="cellIs" dxfId="1577" priority="74" stopIfTrue="1" operator="equal">
      <formula>#REF!</formula>
    </cfRule>
  </conditionalFormatting>
  <conditionalFormatting sqref="P45">
    <cfRule type="cellIs" dxfId="1576" priority="73" stopIfTrue="1" operator="equal">
      <formula>#REF!</formula>
    </cfRule>
  </conditionalFormatting>
  <conditionalFormatting sqref="P45">
    <cfRule type="cellIs" dxfId="1575" priority="72" stopIfTrue="1" operator="equal">
      <formula>#REF!</formula>
    </cfRule>
  </conditionalFormatting>
  <conditionalFormatting sqref="P45">
    <cfRule type="cellIs" dxfId="1574" priority="71" stopIfTrue="1" operator="equal">
      <formula>#REF!</formula>
    </cfRule>
  </conditionalFormatting>
  <conditionalFormatting sqref="P45">
    <cfRule type="cellIs" dxfId="1573" priority="70" stopIfTrue="1" operator="equal">
      <formula>#REF!</formula>
    </cfRule>
  </conditionalFormatting>
  <conditionalFormatting sqref="P45">
    <cfRule type="cellIs" dxfId="1572" priority="69" stopIfTrue="1" operator="equal">
      <formula>#REF!</formula>
    </cfRule>
  </conditionalFormatting>
  <conditionalFormatting sqref="P45">
    <cfRule type="cellIs" dxfId="1571" priority="68" stopIfTrue="1" operator="equal">
      <formula>#REF!</formula>
    </cfRule>
  </conditionalFormatting>
  <conditionalFormatting sqref="P45">
    <cfRule type="cellIs" dxfId="1570" priority="67" stopIfTrue="1" operator="equal">
      <formula>#REF!</formula>
    </cfRule>
  </conditionalFormatting>
  <conditionalFormatting sqref="P45">
    <cfRule type="cellIs" dxfId="1569" priority="66" stopIfTrue="1" operator="equal">
      <formula>#REF!</formula>
    </cfRule>
  </conditionalFormatting>
  <conditionalFormatting sqref="P45">
    <cfRule type="cellIs" dxfId="1568" priority="65" stopIfTrue="1" operator="equal">
      <formula>#REF!</formula>
    </cfRule>
  </conditionalFormatting>
  <conditionalFormatting sqref="P45">
    <cfRule type="cellIs" dxfId="1567" priority="64" stopIfTrue="1" operator="equal">
      <formula>#REF!</formula>
    </cfRule>
  </conditionalFormatting>
  <conditionalFormatting sqref="P27:P28">
    <cfRule type="cellIs" dxfId="1566" priority="51" stopIfTrue="1" operator="equal">
      <formula>#REF!</formula>
    </cfRule>
  </conditionalFormatting>
  <conditionalFormatting sqref="P27:P28">
    <cfRule type="cellIs" dxfId="1565" priority="47" stopIfTrue="1" operator="equal">
      <formula>#REF!</formula>
    </cfRule>
  </conditionalFormatting>
  <conditionalFormatting sqref="P27:P28">
    <cfRule type="cellIs" dxfId="1564" priority="50" stopIfTrue="1" operator="equal">
      <formula>#REF!</formula>
    </cfRule>
  </conditionalFormatting>
  <conditionalFormatting sqref="P27:P28">
    <cfRule type="cellIs" dxfId="1563" priority="49" stopIfTrue="1" operator="equal">
      <formula>#REF!</formula>
    </cfRule>
  </conditionalFormatting>
  <conditionalFormatting sqref="P27:P28">
    <cfRule type="cellIs" dxfId="1562" priority="48" stopIfTrue="1" operator="equal">
      <formula>#REF!</formula>
    </cfRule>
  </conditionalFormatting>
  <conditionalFormatting sqref="P32">
    <cfRule type="cellIs" dxfId="1561" priority="46" stopIfTrue="1" operator="equal">
      <formula>#REF!</formula>
    </cfRule>
  </conditionalFormatting>
  <conditionalFormatting sqref="P32">
    <cfRule type="cellIs" dxfId="1560" priority="45" stopIfTrue="1" operator="equal">
      <formula>#REF!</formula>
    </cfRule>
  </conditionalFormatting>
  <conditionalFormatting sqref="P33">
    <cfRule type="cellIs" dxfId="1559" priority="44" stopIfTrue="1" operator="equal">
      <formula>#REF!</formula>
    </cfRule>
  </conditionalFormatting>
  <conditionalFormatting sqref="P34">
    <cfRule type="cellIs" dxfId="1558" priority="43" stopIfTrue="1" operator="equal">
      <formula>#REF!</formula>
    </cfRule>
  </conditionalFormatting>
  <conditionalFormatting sqref="P34">
    <cfRule type="cellIs" dxfId="1557" priority="42" stopIfTrue="1" operator="equal">
      <formula>#REF!</formula>
    </cfRule>
  </conditionalFormatting>
  <conditionalFormatting sqref="P35">
    <cfRule type="cellIs" dxfId="1556" priority="41" stopIfTrue="1" operator="equal">
      <formula>#REF!</formula>
    </cfRule>
  </conditionalFormatting>
  <conditionalFormatting sqref="P35">
    <cfRule type="cellIs" dxfId="1555" priority="37" stopIfTrue="1" operator="equal">
      <formula>#REF!</formula>
    </cfRule>
  </conditionalFormatting>
  <conditionalFormatting sqref="P35">
    <cfRule type="cellIs" dxfId="1554" priority="40" stopIfTrue="1" operator="equal">
      <formula>#REF!</formula>
    </cfRule>
  </conditionalFormatting>
  <conditionalFormatting sqref="P35">
    <cfRule type="cellIs" dxfId="1553" priority="39" stopIfTrue="1" operator="equal">
      <formula>#REF!</formula>
    </cfRule>
  </conditionalFormatting>
  <conditionalFormatting sqref="P35">
    <cfRule type="cellIs" dxfId="1552" priority="38" stopIfTrue="1" operator="equal">
      <formula>#REF!</formula>
    </cfRule>
  </conditionalFormatting>
  <conditionalFormatting sqref="P36">
    <cfRule type="cellIs" dxfId="1551" priority="33" stopIfTrue="1" operator="equal">
      <formula>#REF!</formula>
    </cfRule>
  </conditionalFormatting>
  <conditionalFormatting sqref="P36">
    <cfRule type="cellIs" dxfId="1550" priority="36" stopIfTrue="1" operator="equal">
      <formula>#REF!</formula>
    </cfRule>
  </conditionalFormatting>
  <conditionalFormatting sqref="P36">
    <cfRule type="cellIs" dxfId="1549" priority="35" stopIfTrue="1" operator="equal">
      <formula>#REF!</formula>
    </cfRule>
  </conditionalFormatting>
  <conditionalFormatting sqref="P36">
    <cfRule type="cellIs" dxfId="1548" priority="34" stopIfTrue="1" operator="equal">
      <formula>#REF!</formula>
    </cfRule>
  </conditionalFormatting>
  <conditionalFormatting sqref="P37">
    <cfRule type="cellIs" dxfId="1547" priority="29" stopIfTrue="1" operator="equal">
      <formula>#REF!</formula>
    </cfRule>
  </conditionalFormatting>
  <conditionalFormatting sqref="P37">
    <cfRule type="cellIs" dxfId="1546" priority="32" stopIfTrue="1" operator="equal">
      <formula>#REF!</formula>
    </cfRule>
  </conditionalFormatting>
  <conditionalFormatting sqref="P37">
    <cfRule type="cellIs" dxfId="1545" priority="31" stopIfTrue="1" operator="equal">
      <formula>#REF!</formula>
    </cfRule>
  </conditionalFormatting>
  <conditionalFormatting sqref="P37">
    <cfRule type="cellIs" dxfId="1544" priority="30" stopIfTrue="1" operator="equal">
      <formula>#REF!</formula>
    </cfRule>
  </conditionalFormatting>
  <conditionalFormatting sqref="P39">
    <cfRule type="cellIs" dxfId="1543" priority="25" stopIfTrue="1" operator="equal">
      <formula>#REF!</formula>
    </cfRule>
  </conditionalFormatting>
  <conditionalFormatting sqref="P39">
    <cfRule type="cellIs" dxfId="1542" priority="28" stopIfTrue="1" operator="equal">
      <formula>#REF!</formula>
    </cfRule>
  </conditionalFormatting>
  <conditionalFormatting sqref="P39">
    <cfRule type="cellIs" dxfId="1541" priority="27" stopIfTrue="1" operator="equal">
      <formula>#REF!</formula>
    </cfRule>
  </conditionalFormatting>
  <conditionalFormatting sqref="P39">
    <cfRule type="cellIs" dxfId="1540" priority="26" stopIfTrue="1" operator="equal">
      <formula>#REF!</formula>
    </cfRule>
  </conditionalFormatting>
  <conditionalFormatting sqref="C43:Q43">
    <cfRule type="cellIs" dxfId="1539" priority="24" stopIfTrue="1" operator="equal">
      <formula>#REF!</formula>
    </cfRule>
  </conditionalFormatting>
  <conditionalFormatting sqref="C43:Q43">
    <cfRule type="cellIs" dxfId="1538" priority="23" stopIfTrue="1" operator="equal">
      <formula>#REF!</formula>
    </cfRule>
  </conditionalFormatting>
  <conditionalFormatting sqref="P29">
    <cfRule type="cellIs" dxfId="1537" priority="22" stopIfTrue="1" operator="equal">
      <formula>#REF!</formula>
    </cfRule>
  </conditionalFormatting>
  <conditionalFormatting sqref="P29">
    <cfRule type="cellIs" dxfId="1536" priority="21" stopIfTrue="1" operator="equal">
      <formula>#REF!</formula>
    </cfRule>
  </conditionalFormatting>
  <conditionalFormatting sqref="P29">
    <cfRule type="cellIs" dxfId="1535" priority="20" stopIfTrue="1" operator="equal">
      <formula>#REF!</formula>
    </cfRule>
  </conditionalFormatting>
  <conditionalFormatting sqref="P29">
    <cfRule type="cellIs" dxfId="1534" priority="19" stopIfTrue="1" operator="equal">
      <formula>#REF!</formula>
    </cfRule>
  </conditionalFormatting>
  <conditionalFormatting sqref="P29">
    <cfRule type="cellIs" dxfId="1533" priority="18" stopIfTrue="1" operator="equal">
      <formula>#REF!</formula>
    </cfRule>
  </conditionalFormatting>
  <conditionalFormatting sqref="P29">
    <cfRule type="cellIs" dxfId="1532" priority="17" stopIfTrue="1" operator="equal">
      <formula>#REF!</formula>
    </cfRule>
  </conditionalFormatting>
  <conditionalFormatting sqref="P29">
    <cfRule type="cellIs" dxfId="1531" priority="16" stopIfTrue="1" operator="equal">
      <formula>#REF!</formula>
    </cfRule>
  </conditionalFormatting>
  <conditionalFormatting sqref="P29">
    <cfRule type="cellIs" dxfId="1530" priority="15" stopIfTrue="1" operator="equal">
      <formula>#REF!</formula>
    </cfRule>
  </conditionalFormatting>
  <conditionalFormatting sqref="P29">
    <cfRule type="cellIs" dxfId="1529" priority="14" stopIfTrue="1" operator="equal">
      <formula>#REF!</formula>
    </cfRule>
  </conditionalFormatting>
  <conditionalFormatting sqref="P29">
    <cfRule type="cellIs" dxfId="1528" priority="13" stopIfTrue="1" operator="equal">
      <formula>#REF!</formula>
    </cfRule>
  </conditionalFormatting>
  <conditionalFormatting sqref="P29">
    <cfRule type="cellIs" dxfId="1527" priority="12" stopIfTrue="1" operator="equal">
      <formula>#REF!</formula>
    </cfRule>
  </conditionalFormatting>
  <conditionalFormatting sqref="P29">
    <cfRule type="cellIs" dxfId="1526" priority="11" stopIfTrue="1" operator="equal">
      <formula>#REF!</formula>
    </cfRule>
  </conditionalFormatting>
  <conditionalFormatting sqref="P29">
    <cfRule type="cellIs" dxfId="1525" priority="6" stopIfTrue="1" operator="equal">
      <formula>#REF!</formula>
    </cfRule>
  </conditionalFormatting>
  <conditionalFormatting sqref="P29">
    <cfRule type="cellIs" dxfId="1524" priority="10" stopIfTrue="1" operator="equal">
      <formula>#REF!</formula>
    </cfRule>
  </conditionalFormatting>
  <conditionalFormatting sqref="P29">
    <cfRule type="cellIs" dxfId="1523" priority="9" stopIfTrue="1" operator="equal">
      <formula>#REF!</formula>
    </cfRule>
  </conditionalFormatting>
  <conditionalFormatting sqref="P29">
    <cfRule type="cellIs" dxfId="1522" priority="8" stopIfTrue="1" operator="equal">
      <formula>#REF!</formula>
    </cfRule>
  </conditionalFormatting>
  <conditionalFormatting sqref="P29">
    <cfRule type="cellIs" dxfId="1521" priority="7" stopIfTrue="1" operator="equal">
      <formula>#REF!</formula>
    </cfRule>
  </conditionalFormatting>
  <conditionalFormatting sqref="P29">
    <cfRule type="cellIs" dxfId="1520" priority="5" stopIfTrue="1" operator="equal">
      <formula>#REF!</formula>
    </cfRule>
  </conditionalFormatting>
  <conditionalFormatting sqref="P29">
    <cfRule type="cellIs" dxfId="1519" priority="4" stopIfTrue="1" operator="equal">
      <formula>#REF!</formula>
    </cfRule>
  </conditionalFormatting>
  <conditionalFormatting sqref="P29">
    <cfRule type="cellIs" dxfId="1518" priority="3" stopIfTrue="1" operator="equal">
      <formula>#REF!</formula>
    </cfRule>
  </conditionalFormatting>
  <conditionalFormatting sqref="P29">
    <cfRule type="cellIs" dxfId="1517" priority="2" stopIfTrue="1" operator="equal">
      <formula>#REF!</formula>
    </cfRule>
  </conditionalFormatting>
  <conditionalFormatting sqref="P29">
    <cfRule type="cellIs" dxfId="1516" priority="1" stopIfTrue="1" operator="equal">
      <formula>#REF!</formula>
    </cfRule>
  </conditionalFormatting>
  <dataValidations count="5">
    <dataValidation type="list" allowBlank="1" showInputMessage="1" showErrorMessage="1" sqref="H8:H45">
      <formula1>"complexe,normale,simple"</formula1>
    </dataValidation>
    <dataValidation type="list" allowBlank="1" showInputMessage="1" showErrorMessage="1" sqref="G8:G45">
      <formula1>"1,2,3"</formula1>
    </dataValidation>
    <dataValidation type="list" allowBlank="1" showInputMessage="1" showErrorMessage="1" sqref="I8:I45">
      <formula1>Etat</formula1>
    </dataValidation>
    <dataValidation type="list" allowBlank="1" showInputMessage="1" showErrorMessage="1" sqref="M8:M45">
      <formula1>Conformité</formula1>
    </dataValidation>
    <dataValidation type="list" allowBlank="1" showInputMessage="1" showErrorMessage="1" sqref="D8:D45">
      <formula1>Priorité</formula1>
    </dataValidation>
  </dataValidations>
  <printOptions horizontalCentered="1" verticalCentered="1"/>
  <pageMargins left="0" right="0" top="0.35433070866141736" bottom="0.39370078740157483" header="0.31496062992125984" footer="0.15748031496062992"/>
  <pageSetup paperSize="9" scale="62" orientation="landscape" verticalDpi="300"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fonctionnelle2">
    <tabColor indexed="13"/>
    <pageSetUpPr fitToPage="1"/>
  </sheetPr>
  <dimension ref="A1:T74"/>
  <sheetViews>
    <sheetView showGridLines="0" topLeftCell="A70" zoomScaleNormal="100" workbookViewId="0">
      <selection activeCell="Q72" sqref="Q72"/>
    </sheetView>
  </sheetViews>
  <sheetFormatPr baseColWidth="10" defaultRowHeight="12.75" x14ac:dyDescent="0.2"/>
  <cols>
    <col min="1" max="1" width="4.85546875" style="143" customWidth="1"/>
    <col min="2" max="2" width="41.140625" style="135" customWidth="1"/>
    <col min="3" max="3" width="93.7109375" style="135" customWidth="1"/>
    <col min="4" max="4" width="9.85546875" style="135" bestFit="1" customWidth="1"/>
    <col min="5" max="5" width="10.42578125" style="135" customWidth="1"/>
    <col min="6" max="6" width="11.28515625" style="135" customWidth="1"/>
    <col min="7" max="7" width="9" style="135" customWidth="1"/>
    <col min="8" max="8" width="10.28515625" style="135" hidden="1" customWidth="1"/>
    <col min="9" max="9" width="11" style="136" customWidth="1"/>
    <col min="10" max="10" width="11.85546875" style="136" hidden="1" customWidth="1"/>
    <col min="11" max="11" width="11.28515625" style="136" hidden="1" customWidth="1"/>
    <col min="12" max="12" width="15.28515625" style="136" hidden="1" customWidth="1"/>
    <col min="13" max="13" width="17.28515625" style="136" hidden="1" customWidth="1"/>
    <col min="14" max="14" width="17.7109375" style="136" hidden="1" customWidth="1"/>
    <col min="15" max="15" width="10.7109375" style="136" hidden="1" customWidth="1"/>
    <col min="16" max="16" width="16.5703125" style="135" customWidth="1"/>
    <col min="17" max="17" width="52.85546875" style="135" customWidth="1"/>
    <col min="18" max="18" width="14.28515625" bestFit="1" customWidth="1"/>
    <col min="20" max="20" width="9.42578125" bestFit="1" customWidth="1"/>
    <col min="21" max="21" width="12" bestFit="1" customWidth="1"/>
    <col min="22" max="22" width="7" customWidth="1"/>
    <col min="23" max="23" width="9" bestFit="1" customWidth="1"/>
  </cols>
  <sheetData>
    <row r="1" spans="1:20" x14ac:dyDescent="0.2">
      <c r="B1" s="148" t="s">
        <v>40</v>
      </c>
      <c r="C1" s="109" t="s">
        <v>65</v>
      </c>
      <c r="D1" s="109"/>
      <c r="E1" s="109"/>
      <c r="F1" s="109" t="s">
        <v>65</v>
      </c>
      <c r="G1" s="109"/>
      <c r="H1" s="109"/>
      <c r="I1" s="109"/>
      <c r="J1" s="109"/>
      <c r="K1" s="109"/>
      <c r="L1" s="109"/>
      <c r="M1" s="109"/>
      <c r="N1" s="109"/>
      <c r="O1" s="109"/>
      <c r="P1" s="109"/>
      <c r="Q1" s="109"/>
      <c r="R1" s="109"/>
      <c r="S1" s="109"/>
      <c r="T1" s="109"/>
    </row>
    <row r="2" spans="1:20" ht="12.75" customHeight="1" x14ac:dyDescent="0.2">
      <c r="B2" s="260" t="s">
        <v>103</v>
      </c>
      <c r="C2" s="260"/>
      <c r="D2" s="260"/>
      <c r="E2" s="260"/>
      <c r="F2" s="260"/>
      <c r="G2" s="260"/>
      <c r="H2" s="260"/>
      <c r="I2" s="260"/>
      <c r="J2" s="260"/>
      <c r="K2" s="260"/>
      <c r="L2" s="260"/>
      <c r="M2" s="260"/>
      <c r="N2" s="260"/>
      <c r="O2" s="260"/>
      <c r="P2" s="260"/>
      <c r="Q2" s="260"/>
      <c r="R2" s="260"/>
    </row>
    <row r="3" spans="1:20" x14ac:dyDescent="0.2">
      <c r="B3" s="258" t="s">
        <v>42</v>
      </c>
      <c r="C3" s="258"/>
      <c r="D3" s="258"/>
      <c r="E3" s="258"/>
      <c r="F3" s="258"/>
      <c r="G3" s="258"/>
      <c r="H3" s="258"/>
      <c r="I3" s="258"/>
      <c r="J3" s="258"/>
      <c r="K3" s="258"/>
      <c r="L3" s="258"/>
      <c r="M3" s="149"/>
      <c r="N3" s="149"/>
      <c r="O3" s="149"/>
      <c r="P3" s="147"/>
      <c r="Q3" s="147"/>
      <c r="R3" s="13"/>
    </row>
    <row r="4" spans="1:20" ht="13.5" thickBot="1" x14ac:dyDescent="0.25">
      <c r="B4" s="134"/>
      <c r="C4" s="134"/>
      <c r="D4" s="134"/>
      <c r="E4" s="134"/>
      <c r="F4" s="134"/>
      <c r="G4" s="134"/>
      <c r="H4" s="134"/>
      <c r="I4" s="134"/>
      <c r="J4" s="134"/>
      <c r="K4" s="134"/>
      <c r="L4" s="134"/>
      <c r="M4" s="134"/>
      <c r="N4" s="134"/>
      <c r="O4" s="134"/>
      <c r="P4" s="134"/>
      <c r="Q4" s="134"/>
    </row>
    <row r="5" spans="1:20" s="87" customFormat="1" ht="11.25" x14ac:dyDescent="0.2">
      <c r="A5" s="144"/>
      <c r="B5" s="88" t="s">
        <v>95</v>
      </c>
      <c r="C5" s="89" t="s">
        <v>96</v>
      </c>
      <c r="D5" s="89" t="s">
        <v>97</v>
      </c>
      <c r="E5" s="89"/>
      <c r="F5" s="89"/>
      <c r="G5" s="89"/>
      <c r="H5" s="89"/>
      <c r="I5" s="89"/>
      <c r="J5" s="90"/>
      <c r="K5" s="90"/>
      <c r="L5" s="90"/>
      <c r="M5" s="90"/>
      <c r="N5" s="90"/>
      <c r="O5" s="95"/>
      <c r="P5" s="95"/>
      <c r="Q5" s="96"/>
    </row>
    <row r="6" spans="1:20" s="87" customFormat="1" ht="12" thickBot="1" x14ac:dyDescent="0.25">
      <c r="A6" s="144"/>
      <c r="B6" s="91">
        <f>COUNTA(B8:B940)</f>
        <v>67</v>
      </c>
      <c r="C6" s="92">
        <f>SUBTOTAL(3,B8:B940)</f>
        <v>67</v>
      </c>
      <c r="D6" s="93">
        <f>IF(C6=0,0,$C$6/$B$6)</f>
        <v>1</v>
      </c>
      <c r="E6" s="93"/>
      <c r="F6" s="93"/>
      <c r="G6" s="92"/>
      <c r="H6" s="92"/>
      <c r="I6" s="92"/>
      <c r="J6" s="94"/>
      <c r="K6" s="94"/>
      <c r="L6" s="94"/>
      <c r="M6" s="99"/>
      <c r="N6" s="99"/>
      <c r="P6" s="98"/>
      <c r="Q6" s="97"/>
    </row>
    <row r="7" spans="1:20" ht="42.75" customHeight="1" thickBot="1" x14ac:dyDescent="0.25">
      <c r="B7" s="117" t="s">
        <v>14</v>
      </c>
      <c r="C7" s="12" t="s">
        <v>13</v>
      </c>
      <c r="D7" s="12" t="s">
        <v>129</v>
      </c>
      <c r="E7" s="12" t="s">
        <v>113</v>
      </c>
      <c r="F7" s="12" t="s">
        <v>102</v>
      </c>
      <c r="G7" s="12" t="s">
        <v>131</v>
      </c>
      <c r="H7" s="12" t="s">
        <v>130</v>
      </c>
      <c r="I7" s="12" t="s">
        <v>111</v>
      </c>
      <c r="J7" s="12" t="s">
        <v>15</v>
      </c>
      <c r="K7" s="12" t="s">
        <v>30</v>
      </c>
      <c r="L7" s="12" t="s">
        <v>123</v>
      </c>
      <c r="M7" s="12" t="s">
        <v>75</v>
      </c>
      <c r="N7" s="12" t="s">
        <v>76</v>
      </c>
      <c r="O7" s="12" t="s">
        <v>133</v>
      </c>
      <c r="P7" s="12" t="s">
        <v>67</v>
      </c>
      <c r="Q7" s="37" t="s">
        <v>132</v>
      </c>
    </row>
    <row r="8" spans="1:20" ht="25.5" x14ac:dyDescent="0.2">
      <c r="A8" s="143">
        <v>1</v>
      </c>
      <c r="B8" s="240" t="s">
        <v>338</v>
      </c>
      <c r="C8" s="241" t="s">
        <v>386</v>
      </c>
      <c r="D8" s="242" t="s">
        <v>16</v>
      </c>
      <c r="E8" s="242"/>
      <c r="F8" s="242" t="s">
        <v>914</v>
      </c>
      <c r="G8" s="242">
        <v>1</v>
      </c>
      <c r="H8" s="242"/>
      <c r="I8" s="243" t="s">
        <v>20</v>
      </c>
      <c r="J8" s="242"/>
      <c r="K8" s="242"/>
      <c r="L8" s="241"/>
      <c r="M8" s="243"/>
      <c r="N8" s="241"/>
      <c r="O8" s="244"/>
      <c r="P8" s="244" t="s">
        <v>217</v>
      </c>
      <c r="Q8" s="215" t="s">
        <v>940</v>
      </c>
    </row>
    <row r="9" spans="1:20" x14ac:dyDescent="0.2">
      <c r="A9" s="143">
        <f>A8+1</f>
        <v>2</v>
      </c>
      <c r="B9" s="153" t="s">
        <v>339</v>
      </c>
      <c r="C9" s="151" t="s">
        <v>1011</v>
      </c>
      <c r="D9" s="128" t="s">
        <v>16</v>
      </c>
      <c r="E9" s="128"/>
      <c r="F9" s="128" t="s">
        <v>238</v>
      </c>
      <c r="G9" s="128">
        <v>1</v>
      </c>
      <c r="H9" s="128"/>
      <c r="I9" s="129" t="s">
        <v>19</v>
      </c>
      <c r="J9" s="152"/>
      <c r="K9" s="160"/>
      <c r="L9" s="161"/>
      <c r="M9" s="162"/>
      <c r="N9" s="161"/>
      <c r="O9" s="163"/>
      <c r="P9" s="131" t="s">
        <v>235</v>
      </c>
      <c r="Q9" s="164"/>
    </row>
    <row r="10" spans="1:20" x14ac:dyDescent="0.2">
      <c r="A10" s="143">
        <f t="shared" ref="A10:A60" si="0">A9+1</f>
        <v>3</v>
      </c>
      <c r="B10" s="153" t="s">
        <v>718</v>
      </c>
      <c r="C10" s="151" t="s">
        <v>716</v>
      </c>
      <c r="D10" s="128" t="s">
        <v>16</v>
      </c>
      <c r="E10" s="128"/>
      <c r="F10" s="128" t="s">
        <v>238</v>
      </c>
      <c r="G10" s="128">
        <v>1</v>
      </c>
      <c r="H10" s="128"/>
      <c r="I10" s="129" t="s">
        <v>19</v>
      </c>
      <c r="J10" s="152"/>
      <c r="K10" s="160"/>
      <c r="L10" s="161"/>
      <c r="M10" s="162"/>
      <c r="N10" s="161"/>
      <c r="O10" s="163"/>
      <c r="P10" s="131" t="s">
        <v>235</v>
      </c>
      <c r="Q10" s="165"/>
    </row>
    <row r="11" spans="1:20" ht="51" x14ac:dyDescent="0.2">
      <c r="A11" s="143">
        <f t="shared" si="0"/>
        <v>4</v>
      </c>
      <c r="B11" s="153" t="s">
        <v>719</v>
      </c>
      <c r="C11" s="151" t="s">
        <v>717</v>
      </c>
      <c r="D11" s="128" t="s">
        <v>16</v>
      </c>
      <c r="E11" s="128"/>
      <c r="F11" s="128" t="s">
        <v>238</v>
      </c>
      <c r="G11" s="128">
        <v>1</v>
      </c>
      <c r="H11" s="128"/>
      <c r="I11" s="129" t="s">
        <v>19</v>
      </c>
      <c r="J11" s="152"/>
      <c r="K11" s="160"/>
      <c r="L11" s="161"/>
      <c r="M11" s="162"/>
      <c r="N11" s="161"/>
      <c r="O11" s="163"/>
      <c r="P11" s="131" t="s">
        <v>235</v>
      </c>
      <c r="Q11" s="165"/>
    </row>
    <row r="12" spans="1:20" x14ac:dyDescent="0.2">
      <c r="A12" s="143">
        <f t="shared" si="0"/>
        <v>5</v>
      </c>
      <c r="B12" s="153" t="s">
        <v>451</v>
      </c>
      <c r="C12" s="151" t="s">
        <v>225</v>
      </c>
      <c r="D12" s="128" t="s">
        <v>16</v>
      </c>
      <c r="E12" s="128"/>
      <c r="F12" s="128" t="s">
        <v>238</v>
      </c>
      <c r="G12" s="128">
        <v>1</v>
      </c>
      <c r="H12" s="128"/>
      <c r="I12" s="129" t="s">
        <v>19</v>
      </c>
      <c r="J12" s="152"/>
      <c r="K12" s="128"/>
      <c r="L12" s="151"/>
      <c r="M12" s="129"/>
      <c r="N12" s="151"/>
      <c r="O12" s="131"/>
      <c r="P12" s="130" t="s">
        <v>218</v>
      </c>
      <c r="Q12" s="165"/>
    </row>
    <row r="13" spans="1:20" x14ac:dyDescent="0.2">
      <c r="A13" s="143">
        <f t="shared" si="0"/>
        <v>6</v>
      </c>
      <c r="B13" s="153" t="s">
        <v>452</v>
      </c>
      <c r="C13" s="151" t="s">
        <v>220</v>
      </c>
      <c r="D13" s="128" t="s">
        <v>16</v>
      </c>
      <c r="E13" s="128"/>
      <c r="F13" s="128" t="s">
        <v>238</v>
      </c>
      <c r="G13" s="128">
        <v>1</v>
      </c>
      <c r="H13" s="128"/>
      <c r="I13" s="129" t="s">
        <v>19</v>
      </c>
      <c r="J13" s="152"/>
      <c r="K13" s="128"/>
      <c r="L13" s="151"/>
      <c r="M13" s="129"/>
      <c r="N13" s="151"/>
      <c r="O13" s="131"/>
      <c r="P13" s="130" t="s">
        <v>218</v>
      </c>
      <c r="Q13" s="165"/>
    </row>
    <row r="14" spans="1:20" ht="76.5" x14ac:dyDescent="0.2">
      <c r="A14" s="143">
        <f t="shared" si="0"/>
        <v>7</v>
      </c>
      <c r="B14" s="153" t="s">
        <v>453</v>
      </c>
      <c r="C14" s="151" t="s">
        <v>454</v>
      </c>
      <c r="D14" s="128" t="s">
        <v>16</v>
      </c>
      <c r="E14" s="128"/>
      <c r="F14" s="128" t="s">
        <v>238</v>
      </c>
      <c r="G14" s="128">
        <v>1</v>
      </c>
      <c r="H14" s="128"/>
      <c r="I14" s="129" t="s">
        <v>19</v>
      </c>
      <c r="J14" s="152"/>
      <c r="K14" s="128"/>
      <c r="L14" s="151"/>
      <c r="M14" s="129"/>
      <c r="N14" s="151"/>
      <c r="O14" s="131"/>
      <c r="P14" s="130" t="s">
        <v>218</v>
      </c>
      <c r="Q14" s="165"/>
    </row>
    <row r="15" spans="1:20" x14ac:dyDescent="0.2">
      <c r="A15" s="143">
        <f t="shared" si="0"/>
        <v>8</v>
      </c>
      <c r="B15" s="153" t="s">
        <v>455</v>
      </c>
      <c r="C15" s="151" t="s">
        <v>456</v>
      </c>
      <c r="D15" s="128" t="s">
        <v>16</v>
      </c>
      <c r="E15" s="128"/>
      <c r="F15" s="128" t="s">
        <v>238</v>
      </c>
      <c r="G15" s="128">
        <v>1</v>
      </c>
      <c r="H15" s="128"/>
      <c r="I15" s="129" t="s">
        <v>19</v>
      </c>
      <c r="J15" s="152"/>
      <c r="K15" s="128"/>
      <c r="L15" s="151"/>
      <c r="M15" s="129"/>
      <c r="N15" s="151"/>
      <c r="O15" s="131"/>
      <c r="P15" s="130" t="s">
        <v>218</v>
      </c>
      <c r="Q15" s="165"/>
    </row>
    <row r="16" spans="1:20" ht="51" x14ac:dyDescent="0.2">
      <c r="A16" s="143">
        <f>A15+1</f>
        <v>9</v>
      </c>
      <c r="B16" s="153" t="s">
        <v>457</v>
      </c>
      <c r="C16" s="151" t="s">
        <v>458</v>
      </c>
      <c r="D16" s="128" t="s">
        <v>16</v>
      </c>
      <c r="E16" s="128"/>
      <c r="F16" s="128" t="s">
        <v>238</v>
      </c>
      <c r="G16" s="128">
        <v>1</v>
      </c>
      <c r="H16" s="128"/>
      <c r="I16" s="129" t="s">
        <v>19</v>
      </c>
      <c r="J16" s="152"/>
      <c r="K16" s="128"/>
      <c r="L16" s="151"/>
      <c r="M16" s="129"/>
      <c r="N16" s="151"/>
      <c r="O16" s="131"/>
      <c r="P16" s="130" t="s">
        <v>563</v>
      </c>
      <c r="Q16" s="165"/>
    </row>
    <row r="17" spans="1:17" ht="63.75" x14ac:dyDescent="0.2">
      <c r="A17" s="143">
        <f>A16+1</f>
        <v>10</v>
      </c>
      <c r="B17" s="153" t="s">
        <v>459</v>
      </c>
      <c r="C17" s="151" t="s">
        <v>460</v>
      </c>
      <c r="D17" s="128" t="s">
        <v>16</v>
      </c>
      <c r="E17" s="128"/>
      <c r="F17" s="128" t="s">
        <v>238</v>
      </c>
      <c r="G17" s="128">
        <v>1</v>
      </c>
      <c r="H17" s="128"/>
      <c r="I17" s="129" t="s">
        <v>19</v>
      </c>
      <c r="J17" s="152"/>
      <c r="K17" s="128"/>
      <c r="L17" s="151"/>
      <c r="M17" s="129"/>
      <c r="N17" s="151"/>
      <c r="O17" s="131"/>
      <c r="P17" s="130" t="s">
        <v>563</v>
      </c>
      <c r="Q17" s="165"/>
    </row>
    <row r="18" spans="1:17" ht="25.5" x14ac:dyDescent="0.2">
      <c r="A18" s="143">
        <f>A17+1</f>
        <v>11</v>
      </c>
      <c r="B18" s="153" t="s">
        <v>461</v>
      </c>
      <c r="C18" s="151" t="s">
        <v>462</v>
      </c>
      <c r="D18" s="128" t="s">
        <v>16</v>
      </c>
      <c r="E18" s="128"/>
      <c r="F18" s="128" t="s">
        <v>238</v>
      </c>
      <c r="G18" s="128">
        <v>1</v>
      </c>
      <c r="H18" s="128"/>
      <c r="I18" s="129" t="s">
        <v>19</v>
      </c>
      <c r="J18" s="152"/>
      <c r="K18" s="128"/>
      <c r="L18" s="151"/>
      <c r="M18" s="129"/>
      <c r="N18" s="151"/>
      <c r="O18" s="131"/>
      <c r="P18" s="130" t="s">
        <v>563</v>
      </c>
      <c r="Q18" s="165"/>
    </row>
    <row r="19" spans="1:17" ht="38.25" x14ac:dyDescent="0.2">
      <c r="A19" s="143">
        <f>A18+1</f>
        <v>12</v>
      </c>
      <c r="B19" s="153" t="s">
        <v>463</v>
      </c>
      <c r="C19" s="151" t="s">
        <v>464</v>
      </c>
      <c r="D19" s="128" t="s">
        <v>16</v>
      </c>
      <c r="E19" s="128"/>
      <c r="F19" s="128" t="s">
        <v>238</v>
      </c>
      <c r="G19" s="128">
        <v>1</v>
      </c>
      <c r="H19" s="128"/>
      <c r="I19" s="129" t="s">
        <v>19</v>
      </c>
      <c r="J19" s="152"/>
      <c r="K19" s="128"/>
      <c r="L19" s="151"/>
      <c r="M19" s="129"/>
      <c r="N19" s="151"/>
      <c r="O19" s="131"/>
      <c r="P19" s="130" t="s">
        <v>563</v>
      </c>
      <c r="Q19" s="165"/>
    </row>
    <row r="20" spans="1:17" ht="114.75" x14ac:dyDescent="0.2">
      <c r="A20" s="143">
        <f t="shared" si="0"/>
        <v>13</v>
      </c>
      <c r="B20" s="153" t="s">
        <v>465</v>
      </c>
      <c r="C20" s="151" t="s">
        <v>466</v>
      </c>
      <c r="D20" s="128" t="s">
        <v>16</v>
      </c>
      <c r="E20" s="128"/>
      <c r="F20" s="128" t="s">
        <v>238</v>
      </c>
      <c r="G20" s="128">
        <v>1</v>
      </c>
      <c r="H20" s="128"/>
      <c r="I20" s="129" t="s">
        <v>19</v>
      </c>
      <c r="J20" s="152"/>
      <c r="K20" s="128"/>
      <c r="L20" s="151"/>
      <c r="M20" s="129"/>
      <c r="N20" s="151"/>
      <c r="O20" s="131"/>
      <c r="P20" s="130" t="s">
        <v>563</v>
      </c>
      <c r="Q20" s="165"/>
    </row>
    <row r="21" spans="1:17" ht="180" customHeight="1" x14ac:dyDescent="0.2">
      <c r="A21" s="143">
        <f t="shared" si="0"/>
        <v>14</v>
      </c>
      <c r="B21" s="153" t="s">
        <v>467</v>
      </c>
      <c r="C21" s="151" t="s">
        <v>468</v>
      </c>
      <c r="D21" s="128" t="s">
        <v>16</v>
      </c>
      <c r="E21" s="128"/>
      <c r="F21" s="128" t="s">
        <v>238</v>
      </c>
      <c r="G21" s="128">
        <v>1</v>
      </c>
      <c r="H21" s="128"/>
      <c r="I21" s="129" t="s">
        <v>19</v>
      </c>
      <c r="J21" s="152"/>
      <c r="K21" s="128"/>
      <c r="L21" s="151"/>
      <c r="M21" s="129"/>
      <c r="N21" s="151"/>
      <c r="O21" s="131"/>
      <c r="P21" s="130" t="s">
        <v>563</v>
      </c>
      <c r="Q21" s="165"/>
    </row>
    <row r="22" spans="1:17" ht="38.25" x14ac:dyDescent="0.2">
      <c r="A22" s="143">
        <f t="shared" si="0"/>
        <v>15</v>
      </c>
      <c r="B22" s="153" t="s">
        <v>469</v>
      </c>
      <c r="C22" s="151" t="s">
        <v>470</v>
      </c>
      <c r="D22" s="128" t="s">
        <v>16</v>
      </c>
      <c r="E22" s="128"/>
      <c r="F22" s="128" t="s">
        <v>238</v>
      </c>
      <c r="G22" s="128">
        <v>1</v>
      </c>
      <c r="H22" s="128"/>
      <c r="I22" s="129" t="s">
        <v>19</v>
      </c>
      <c r="J22" s="152"/>
      <c r="K22" s="128"/>
      <c r="L22" s="151"/>
      <c r="M22" s="129"/>
      <c r="N22" s="151"/>
      <c r="O22" s="131"/>
      <c r="P22" s="130" t="s">
        <v>563</v>
      </c>
      <c r="Q22" s="165"/>
    </row>
    <row r="23" spans="1:17" ht="63.75" x14ac:dyDescent="0.2">
      <c r="A23" s="143">
        <f t="shared" si="0"/>
        <v>16</v>
      </c>
      <c r="B23" s="153" t="s">
        <v>471</v>
      </c>
      <c r="C23" s="151" t="s">
        <v>472</v>
      </c>
      <c r="D23" s="128" t="s">
        <v>16</v>
      </c>
      <c r="E23" s="128"/>
      <c r="F23" s="128" t="s">
        <v>238</v>
      </c>
      <c r="G23" s="128">
        <v>1</v>
      </c>
      <c r="H23" s="128"/>
      <c r="I23" s="129" t="s">
        <v>19</v>
      </c>
      <c r="J23" s="152"/>
      <c r="K23" s="128"/>
      <c r="L23" s="151"/>
      <c r="M23" s="129"/>
      <c r="N23" s="151"/>
      <c r="O23" s="131"/>
      <c r="P23" s="130" t="s">
        <v>563</v>
      </c>
      <c r="Q23" s="164"/>
    </row>
    <row r="24" spans="1:17" ht="25.5" x14ac:dyDescent="0.2">
      <c r="A24" s="143">
        <f t="shared" si="0"/>
        <v>17</v>
      </c>
      <c r="B24" s="153" t="s">
        <v>473</v>
      </c>
      <c r="C24" s="151" t="s">
        <v>474</v>
      </c>
      <c r="D24" s="128" t="s">
        <v>16</v>
      </c>
      <c r="E24" s="128"/>
      <c r="F24" s="128" t="s">
        <v>238</v>
      </c>
      <c r="G24" s="128">
        <v>1</v>
      </c>
      <c r="H24" s="128"/>
      <c r="I24" s="129" t="s">
        <v>19</v>
      </c>
      <c r="J24" s="152"/>
      <c r="K24" s="128"/>
      <c r="L24" s="151"/>
      <c r="M24" s="129"/>
      <c r="N24" s="151"/>
      <c r="O24" s="131"/>
      <c r="P24" s="130" t="s">
        <v>563</v>
      </c>
      <c r="Q24" s="165"/>
    </row>
    <row r="25" spans="1:17" ht="38.25" x14ac:dyDescent="0.2">
      <c r="A25" s="143">
        <f t="shared" si="0"/>
        <v>18</v>
      </c>
      <c r="B25" s="153" t="s">
        <v>475</v>
      </c>
      <c r="C25" s="151" t="s">
        <v>476</v>
      </c>
      <c r="D25" s="128" t="s">
        <v>16</v>
      </c>
      <c r="E25" s="128"/>
      <c r="F25" s="128" t="s">
        <v>238</v>
      </c>
      <c r="G25" s="128">
        <v>1</v>
      </c>
      <c r="H25" s="128"/>
      <c r="I25" s="129" t="s">
        <v>19</v>
      </c>
      <c r="J25" s="152"/>
      <c r="K25" s="128"/>
      <c r="L25" s="151"/>
      <c r="M25" s="129"/>
      <c r="N25" s="151"/>
      <c r="O25" s="131"/>
      <c r="P25" s="130" t="s">
        <v>563</v>
      </c>
      <c r="Q25" s="165"/>
    </row>
    <row r="26" spans="1:17" ht="76.5" x14ac:dyDescent="0.2">
      <c r="A26" s="143">
        <f t="shared" si="0"/>
        <v>19</v>
      </c>
      <c r="B26" s="153" t="s">
        <v>477</v>
      </c>
      <c r="C26" s="151" t="s">
        <v>478</v>
      </c>
      <c r="D26" s="128" t="s">
        <v>16</v>
      </c>
      <c r="E26" s="128"/>
      <c r="F26" s="128" t="s">
        <v>238</v>
      </c>
      <c r="G26" s="128">
        <v>1</v>
      </c>
      <c r="H26" s="128"/>
      <c r="I26" s="129" t="s">
        <v>19</v>
      </c>
      <c r="J26" s="152"/>
      <c r="K26" s="128"/>
      <c r="L26" s="151"/>
      <c r="M26" s="129"/>
      <c r="N26" s="151"/>
      <c r="O26" s="131"/>
      <c r="P26" s="130" t="s">
        <v>563</v>
      </c>
      <c r="Q26" s="165"/>
    </row>
    <row r="27" spans="1:17" ht="216.75" x14ac:dyDescent="0.2">
      <c r="A27" s="143">
        <f t="shared" si="0"/>
        <v>20</v>
      </c>
      <c r="B27" s="153" t="s">
        <v>479</v>
      </c>
      <c r="C27" s="151" t="s">
        <v>480</v>
      </c>
      <c r="D27" s="128" t="s">
        <v>16</v>
      </c>
      <c r="E27" s="128"/>
      <c r="F27" s="128" t="s">
        <v>238</v>
      </c>
      <c r="G27" s="128">
        <v>1</v>
      </c>
      <c r="H27" s="128"/>
      <c r="I27" s="129" t="s">
        <v>19</v>
      </c>
      <c r="J27" s="152"/>
      <c r="K27" s="128"/>
      <c r="L27" s="151"/>
      <c r="M27" s="129"/>
      <c r="N27" s="151"/>
      <c r="O27" s="131"/>
      <c r="P27" s="130" t="s">
        <v>563</v>
      </c>
      <c r="Q27" s="165"/>
    </row>
    <row r="28" spans="1:17" ht="127.5" x14ac:dyDescent="0.2">
      <c r="A28" s="143">
        <f t="shared" si="0"/>
        <v>21</v>
      </c>
      <c r="B28" s="153" t="s">
        <v>481</v>
      </c>
      <c r="C28" s="132" t="s">
        <v>482</v>
      </c>
      <c r="D28" s="128" t="s">
        <v>16</v>
      </c>
      <c r="E28" s="128"/>
      <c r="F28" s="128" t="s">
        <v>238</v>
      </c>
      <c r="G28" s="128">
        <v>1</v>
      </c>
      <c r="H28" s="128"/>
      <c r="I28" s="129" t="s">
        <v>19</v>
      </c>
      <c r="J28" s="152"/>
      <c r="K28" s="128"/>
      <c r="L28" s="151"/>
      <c r="M28" s="129"/>
      <c r="N28" s="151"/>
      <c r="O28" s="131"/>
      <c r="P28" s="130" t="s">
        <v>563</v>
      </c>
      <c r="Q28" s="164"/>
    </row>
    <row r="29" spans="1:17" ht="25.5" x14ac:dyDescent="0.2">
      <c r="A29" s="143">
        <f t="shared" si="0"/>
        <v>22</v>
      </c>
      <c r="B29" s="153" t="s">
        <v>483</v>
      </c>
      <c r="C29" s="151" t="s">
        <v>484</v>
      </c>
      <c r="D29" s="128" t="s">
        <v>16</v>
      </c>
      <c r="E29" s="128"/>
      <c r="F29" s="128" t="s">
        <v>238</v>
      </c>
      <c r="G29" s="128">
        <v>1</v>
      </c>
      <c r="H29" s="128"/>
      <c r="I29" s="129" t="s">
        <v>19</v>
      </c>
      <c r="J29" s="152"/>
      <c r="K29" s="128"/>
      <c r="L29" s="151"/>
      <c r="M29" s="129"/>
      <c r="N29" s="151"/>
      <c r="O29" s="131"/>
      <c r="P29" s="130" t="s">
        <v>563</v>
      </c>
      <c r="Q29" s="164"/>
    </row>
    <row r="30" spans="1:17" ht="25.5" x14ac:dyDescent="0.2">
      <c r="A30" s="143">
        <f t="shared" si="0"/>
        <v>23</v>
      </c>
      <c r="B30" s="153" t="s">
        <v>485</v>
      </c>
      <c r="C30" s="151" t="s">
        <v>486</v>
      </c>
      <c r="D30" s="128" t="s">
        <v>16</v>
      </c>
      <c r="E30" s="128"/>
      <c r="F30" s="128" t="s">
        <v>238</v>
      </c>
      <c r="G30" s="128">
        <v>1</v>
      </c>
      <c r="H30" s="128"/>
      <c r="I30" s="129" t="s">
        <v>19</v>
      </c>
      <c r="J30" s="152"/>
      <c r="K30" s="128"/>
      <c r="L30" s="151"/>
      <c r="M30" s="129"/>
      <c r="N30" s="151"/>
      <c r="O30" s="131"/>
      <c r="P30" s="130" t="s">
        <v>563</v>
      </c>
      <c r="Q30" s="164"/>
    </row>
    <row r="31" spans="1:17" ht="76.5" x14ac:dyDescent="0.2">
      <c r="A31" s="143">
        <f t="shared" si="0"/>
        <v>24</v>
      </c>
      <c r="B31" s="153" t="s">
        <v>487</v>
      </c>
      <c r="C31" s="151" t="s">
        <v>488</v>
      </c>
      <c r="D31" s="128" t="s">
        <v>16</v>
      </c>
      <c r="E31" s="128"/>
      <c r="F31" s="128" t="s">
        <v>238</v>
      </c>
      <c r="G31" s="128">
        <v>1</v>
      </c>
      <c r="H31" s="128"/>
      <c r="I31" s="129" t="s">
        <v>19</v>
      </c>
      <c r="J31" s="152"/>
      <c r="K31" s="128"/>
      <c r="L31" s="151"/>
      <c r="M31" s="129"/>
      <c r="N31" s="151"/>
      <c r="O31" s="131"/>
      <c r="P31" s="130" t="s">
        <v>563</v>
      </c>
      <c r="Q31" s="164"/>
    </row>
    <row r="32" spans="1:17" ht="25.5" x14ac:dyDescent="0.2">
      <c r="A32" s="143">
        <f t="shared" si="0"/>
        <v>25</v>
      </c>
      <c r="B32" s="153" t="s">
        <v>489</v>
      </c>
      <c r="C32" s="151" t="s">
        <v>982</v>
      </c>
      <c r="D32" s="128" t="s">
        <v>16</v>
      </c>
      <c r="E32" s="128"/>
      <c r="F32" s="128" t="s">
        <v>914</v>
      </c>
      <c r="G32" s="128">
        <v>1</v>
      </c>
      <c r="H32" s="128"/>
      <c r="I32" s="129" t="s">
        <v>900</v>
      </c>
      <c r="J32" s="152"/>
      <c r="K32" s="128"/>
      <c r="L32" s="151"/>
      <c r="M32" s="129"/>
      <c r="N32" s="151"/>
      <c r="O32" s="131"/>
      <c r="P32" s="130" t="s">
        <v>563</v>
      </c>
      <c r="Q32" s="164" t="s">
        <v>983</v>
      </c>
    </row>
    <row r="33" spans="1:17" ht="76.5" x14ac:dyDescent="0.2">
      <c r="A33" s="143">
        <f t="shared" si="0"/>
        <v>26</v>
      </c>
      <c r="B33" s="153" t="s">
        <v>490</v>
      </c>
      <c r="C33" s="151" t="s">
        <v>491</v>
      </c>
      <c r="D33" s="128" t="s">
        <v>16</v>
      </c>
      <c r="E33" s="128"/>
      <c r="F33" s="128" t="s">
        <v>238</v>
      </c>
      <c r="G33" s="128">
        <v>1</v>
      </c>
      <c r="H33" s="128"/>
      <c r="I33" s="129" t="s">
        <v>19</v>
      </c>
      <c r="J33" s="154"/>
      <c r="K33" s="155"/>
      <c r="L33" s="156"/>
      <c r="M33" s="157"/>
      <c r="N33" s="156"/>
      <c r="O33" s="158"/>
      <c r="P33" s="130" t="s">
        <v>563</v>
      </c>
      <c r="Q33" s="165"/>
    </row>
    <row r="34" spans="1:17" ht="25.5" x14ac:dyDescent="0.2">
      <c r="A34" s="143">
        <f t="shared" si="0"/>
        <v>27</v>
      </c>
      <c r="B34" s="153" t="s">
        <v>492</v>
      </c>
      <c r="C34" s="151" t="s">
        <v>493</v>
      </c>
      <c r="D34" s="128" t="s">
        <v>16</v>
      </c>
      <c r="E34" s="128"/>
      <c r="F34" s="128" t="s">
        <v>238</v>
      </c>
      <c r="G34" s="128">
        <v>1</v>
      </c>
      <c r="H34" s="128"/>
      <c r="I34" s="129" t="s">
        <v>19</v>
      </c>
      <c r="J34" s="152"/>
      <c r="K34" s="128"/>
      <c r="L34" s="151"/>
      <c r="M34" s="129"/>
      <c r="N34" s="151"/>
      <c r="O34" s="131"/>
      <c r="P34" s="130" t="s">
        <v>563</v>
      </c>
      <c r="Q34" s="164"/>
    </row>
    <row r="35" spans="1:17" ht="25.5" x14ac:dyDescent="0.2">
      <c r="A35" s="143">
        <f t="shared" si="0"/>
        <v>28</v>
      </c>
      <c r="B35" s="153" t="s">
        <v>494</v>
      </c>
      <c r="C35" s="151" t="s">
        <v>495</v>
      </c>
      <c r="D35" s="128" t="s">
        <v>16</v>
      </c>
      <c r="E35" s="128"/>
      <c r="F35" s="128" t="s">
        <v>238</v>
      </c>
      <c r="G35" s="128">
        <v>1</v>
      </c>
      <c r="H35" s="128"/>
      <c r="I35" s="129" t="s">
        <v>19</v>
      </c>
      <c r="J35" s="152"/>
      <c r="K35" s="128"/>
      <c r="L35" s="151"/>
      <c r="M35" s="129"/>
      <c r="N35" s="151"/>
      <c r="O35" s="131"/>
      <c r="P35" s="130" t="s">
        <v>563</v>
      </c>
      <c r="Q35" s="165"/>
    </row>
    <row r="36" spans="1:17" ht="25.5" x14ac:dyDescent="0.2">
      <c r="A36" s="143">
        <f t="shared" si="0"/>
        <v>29</v>
      </c>
      <c r="B36" s="153" t="s">
        <v>496</v>
      </c>
      <c r="C36" s="151" t="s">
        <v>497</v>
      </c>
      <c r="D36" s="128" t="s">
        <v>16</v>
      </c>
      <c r="E36" s="128"/>
      <c r="F36" s="128" t="s">
        <v>238</v>
      </c>
      <c r="G36" s="128">
        <v>1</v>
      </c>
      <c r="H36" s="128"/>
      <c r="I36" s="129" t="s">
        <v>19</v>
      </c>
      <c r="J36" s="154"/>
      <c r="K36" s="155"/>
      <c r="L36" s="156"/>
      <c r="M36" s="157"/>
      <c r="N36" s="156"/>
      <c r="O36" s="158"/>
      <c r="P36" s="130" t="s">
        <v>563</v>
      </c>
      <c r="Q36" s="165"/>
    </row>
    <row r="37" spans="1:17" ht="189.75" customHeight="1" x14ac:dyDescent="0.2">
      <c r="A37" s="143">
        <f t="shared" si="0"/>
        <v>30</v>
      </c>
      <c r="B37" s="153" t="s">
        <v>498</v>
      </c>
      <c r="C37" s="151" t="s">
        <v>499</v>
      </c>
      <c r="D37" s="128" t="s">
        <v>16</v>
      </c>
      <c r="E37" s="128"/>
      <c r="F37" s="128" t="s">
        <v>238</v>
      </c>
      <c r="G37" s="128">
        <v>1</v>
      </c>
      <c r="H37" s="128"/>
      <c r="I37" s="129" t="s">
        <v>19</v>
      </c>
      <c r="J37" s="152"/>
      <c r="K37" s="128"/>
      <c r="L37" s="151"/>
      <c r="M37" s="129"/>
      <c r="N37" s="151"/>
      <c r="O37" s="131"/>
      <c r="P37" s="130" t="s">
        <v>563</v>
      </c>
      <c r="Q37" s="164"/>
    </row>
    <row r="38" spans="1:17" ht="25.5" x14ac:dyDescent="0.2">
      <c r="A38" s="143">
        <f t="shared" si="0"/>
        <v>31</v>
      </c>
      <c r="B38" s="153" t="s">
        <v>500</v>
      </c>
      <c r="C38" s="151" t="s">
        <v>501</v>
      </c>
      <c r="D38" s="128" t="s">
        <v>16</v>
      </c>
      <c r="E38" s="128"/>
      <c r="F38" s="128" t="s">
        <v>238</v>
      </c>
      <c r="G38" s="128">
        <v>1</v>
      </c>
      <c r="H38" s="128"/>
      <c r="I38" s="129" t="s">
        <v>19</v>
      </c>
      <c r="J38" s="152"/>
      <c r="K38" s="128"/>
      <c r="L38" s="151"/>
      <c r="M38" s="129"/>
      <c r="N38" s="151"/>
      <c r="O38" s="131"/>
      <c r="P38" s="130" t="s">
        <v>563</v>
      </c>
      <c r="Q38" s="165"/>
    </row>
    <row r="39" spans="1:17" ht="25.5" x14ac:dyDescent="0.2">
      <c r="A39" s="143">
        <f t="shared" si="0"/>
        <v>32</v>
      </c>
      <c r="B39" s="153" t="s">
        <v>502</v>
      </c>
      <c r="C39" s="151" t="s">
        <v>503</v>
      </c>
      <c r="D39" s="128" t="s">
        <v>16</v>
      </c>
      <c r="E39" s="128"/>
      <c r="F39" s="128" t="s">
        <v>238</v>
      </c>
      <c r="G39" s="128">
        <v>1</v>
      </c>
      <c r="H39" s="128"/>
      <c r="I39" s="129" t="s">
        <v>19</v>
      </c>
      <c r="J39" s="154"/>
      <c r="K39" s="155"/>
      <c r="L39" s="156"/>
      <c r="M39" s="157"/>
      <c r="N39" s="156"/>
      <c r="O39" s="158"/>
      <c r="P39" s="130" t="s">
        <v>563</v>
      </c>
      <c r="Q39" s="165"/>
    </row>
    <row r="40" spans="1:17" ht="38.25" x14ac:dyDescent="0.2">
      <c r="A40" s="143">
        <f t="shared" si="0"/>
        <v>33</v>
      </c>
      <c r="B40" s="153" t="s">
        <v>504</v>
      </c>
      <c r="C40" s="151" t="s">
        <v>984</v>
      </c>
      <c r="D40" s="128" t="s">
        <v>16</v>
      </c>
      <c r="E40" s="128"/>
      <c r="F40" s="128" t="s">
        <v>914</v>
      </c>
      <c r="G40" s="128">
        <v>1</v>
      </c>
      <c r="H40" s="128"/>
      <c r="I40" s="129" t="s">
        <v>900</v>
      </c>
      <c r="J40" s="152"/>
      <c r="K40" s="128"/>
      <c r="L40" s="151"/>
      <c r="M40" s="129"/>
      <c r="N40" s="151"/>
      <c r="O40" s="131"/>
      <c r="P40" s="130" t="s">
        <v>563</v>
      </c>
      <c r="Q40" s="164" t="s">
        <v>985</v>
      </c>
    </row>
    <row r="41" spans="1:17" ht="89.25" x14ac:dyDescent="0.2">
      <c r="A41" s="143">
        <f t="shared" si="0"/>
        <v>34</v>
      </c>
      <c r="B41" s="153" t="s">
        <v>505</v>
      </c>
      <c r="C41" s="151" t="s">
        <v>506</v>
      </c>
      <c r="D41" s="128" t="s">
        <v>16</v>
      </c>
      <c r="E41" s="128"/>
      <c r="F41" s="128" t="s">
        <v>238</v>
      </c>
      <c r="G41" s="128">
        <v>1</v>
      </c>
      <c r="H41" s="128"/>
      <c r="I41" s="129" t="s">
        <v>19</v>
      </c>
      <c r="J41" s="152"/>
      <c r="K41" s="128"/>
      <c r="L41" s="151"/>
      <c r="M41" s="129"/>
      <c r="N41" s="151"/>
      <c r="O41" s="131"/>
      <c r="P41" s="130" t="s">
        <v>563</v>
      </c>
      <c r="Q41" s="164"/>
    </row>
    <row r="42" spans="1:17" ht="38.25" x14ac:dyDescent="0.2">
      <c r="A42" s="143">
        <f t="shared" si="0"/>
        <v>35</v>
      </c>
      <c r="B42" s="153" t="s">
        <v>507</v>
      </c>
      <c r="C42" s="151" t="s">
        <v>986</v>
      </c>
      <c r="D42" s="128" t="s">
        <v>16</v>
      </c>
      <c r="E42" s="128"/>
      <c r="F42" s="128" t="s">
        <v>914</v>
      </c>
      <c r="G42" s="128">
        <v>1</v>
      </c>
      <c r="H42" s="128"/>
      <c r="I42" s="129" t="s">
        <v>900</v>
      </c>
      <c r="J42" s="152"/>
      <c r="K42" s="128"/>
      <c r="L42" s="151"/>
      <c r="M42" s="129"/>
      <c r="N42" s="151"/>
      <c r="O42" s="131"/>
      <c r="P42" s="130" t="s">
        <v>563</v>
      </c>
      <c r="Q42" s="164" t="s">
        <v>987</v>
      </c>
    </row>
    <row r="43" spans="1:17" ht="63.75" x14ac:dyDescent="0.2">
      <c r="A43" s="143">
        <f t="shared" si="0"/>
        <v>36</v>
      </c>
      <c r="B43" s="153" t="s">
        <v>508</v>
      </c>
      <c r="C43" s="151" t="s">
        <v>988</v>
      </c>
      <c r="D43" s="128" t="s">
        <v>16</v>
      </c>
      <c r="E43" s="128"/>
      <c r="F43" s="128" t="s">
        <v>914</v>
      </c>
      <c r="G43" s="128">
        <v>1</v>
      </c>
      <c r="H43" s="128"/>
      <c r="I43" s="129" t="s">
        <v>900</v>
      </c>
      <c r="J43" s="152"/>
      <c r="K43" s="128"/>
      <c r="L43" s="151"/>
      <c r="M43" s="129"/>
      <c r="N43" s="151"/>
      <c r="O43" s="131"/>
      <c r="P43" s="130" t="s">
        <v>563</v>
      </c>
      <c r="Q43" s="164" t="s">
        <v>989</v>
      </c>
    </row>
    <row r="44" spans="1:17" ht="25.5" x14ac:dyDescent="0.2">
      <c r="A44" s="143">
        <f t="shared" si="0"/>
        <v>37</v>
      </c>
      <c r="B44" s="153" t="s">
        <v>509</v>
      </c>
      <c r="C44" s="151" t="s">
        <v>510</v>
      </c>
      <c r="D44" s="128" t="s">
        <v>16</v>
      </c>
      <c r="E44" s="128"/>
      <c r="F44" s="128" t="s">
        <v>238</v>
      </c>
      <c r="G44" s="128">
        <v>1</v>
      </c>
      <c r="H44" s="128"/>
      <c r="I44" s="129" t="s">
        <v>19</v>
      </c>
      <c r="J44" s="152"/>
      <c r="K44" s="128"/>
      <c r="L44" s="151"/>
      <c r="M44" s="129"/>
      <c r="N44" s="151"/>
      <c r="O44" s="131"/>
      <c r="P44" s="130" t="s">
        <v>563</v>
      </c>
      <c r="Q44" s="165"/>
    </row>
    <row r="45" spans="1:17" ht="25.5" x14ac:dyDescent="0.2">
      <c r="A45" s="143">
        <f t="shared" si="0"/>
        <v>38</v>
      </c>
      <c r="B45" s="153" t="s">
        <v>511</v>
      </c>
      <c r="C45" s="151" t="s">
        <v>512</v>
      </c>
      <c r="D45" s="128" t="s">
        <v>16</v>
      </c>
      <c r="E45" s="128"/>
      <c r="F45" s="128" t="s">
        <v>238</v>
      </c>
      <c r="G45" s="128">
        <v>1</v>
      </c>
      <c r="H45" s="128"/>
      <c r="I45" s="129" t="s">
        <v>19</v>
      </c>
      <c r="J45" s="152"/>
      <c r="K45" s="128"/>
      <c r="L45" s="151"/>
      <c r="M45" s="129"/>
      <c r="N45" s="151"/>
      <c r="O45" s="131"/>
      <c r="P45" s="130" t="s">
        <v>563</v>
      </c>
      <c r="Q45" s="165"/>
    </row>
    <row r="46" spans="1:17" ht="25.5" x14ac:dyDescent="0.2">
      <c r="A46" s="143">
        <f t="shared" si="0"/>
        <v>39</v>
      </c>
      <c r="B46" s="153" t="s">
        <v>513</v>
      </c>
      <c r="C46" s="151" t="s">
        <v>990</v>
      </c>
      <c r="D46" s="128" t="s">
        <v>16</v>
      </c>
      <c r="E46" s="128"/>
      <c r="F46" s="128" t="s">
        <v>914</v>
      </c>
      <c r="G46" s="128">
        <v>1</v>
      </c>
      <c r="H46" s="128"/>
      <c r="I46" s="129" t="s">
        <v>900</v>
      </c>
      <c r="J46" s="152"/>
      <c r="K46" s="128"/>
      <c r="L46" s="151"/>
      <c r="M46" s="129"/>
      <c r="N46" s="151"/>
      <c r="O46" s="131"/>
      <c r="P46" s="130" t="s">
        <v>563</v>
      </c>
      <c r="Q46" s="164" t="s">
        <v>989</v>
      </c>
    </row>
    <row r="47" spans="1:17" ht="25.5" x14ac:dyDescent="0.2">
      <c r="A47" s="143">
        <f t="shared" si="0"/>
        <v>40</v>
      </c>
      <c r="B47" s="153" t="s">
        <v>514</v>
      </c>
      <c r="C47" s="151" t="s">
        <v>515</v>
      </c>
      <c r="D47" s="128" t="s">
        <v>16</v>
      </c>
      <c r="E47" s="128"/>
      <c r="F47" s="128" t="s">
        <v>238</v>
      </c>
      <c r="G47" s="128">
        <v>1</v>
      </c>
      <c r="H47" s="128"/>
      <c r="I47" s="129" t="s">
        <v>19</v>
      </c>
      <c r="J47" s="152"/>
      <c r="K47" s="128"/>
      <c r="L47" s="151"/>
      <c r="M47" s="129"/>
      <c r="N47" s="151"/>
      <c r="O47" s="131"/>
      <c r="P47" s="130" t="s">
        <v>563</v>
      </c>
      <c r="Q47" s="165"/>
    </row>
    <row r="48" spans="1:17" s="126" customFormat="1" ht="25.5" x14ac:dyDescent="0.2">
      <c r="A48" s="145">
        <f t="shared" si="0"/>
        <v>41</v>
      </c>
      <c r="B48" s="153" t="s">
        <v>516</v>
      </c>
      <c r="C48" s="151" t="s">
        <v>517</v>
      </c>
      <c r="D48" s="128" t="s">
        <v>16</v>
      </c>
      <c r="E48" s="128"/>
      <c r="F48" s="128" t="s">
        <v>238</v>
      </c>
      <c r="G48" s="128">
        <v>1</v>
      </c>
      <c r="H48" s="128"/>
      <c r="I48" s="129" t="s">
        <v>19</v>
      </c>
      <c r="J48" s="152"/>
      <c r="K48" s="128"/>
      <c r="L48" s="151"/>
      <c r="M48" s="129"/>
      <c r="N48" s="151"/>
      <c r="O48" s="131"/>
      <c r="P48" s="130" t="s">
        <v>563</v>
      </c>
      <c r="Q48" s="165"/>
    </row>
    <row r="49" spans="1:17" s="126" customFormat="1" ht="76.5" x14ac:dyDescent="0.2">
      <c r="A49" s="145">
        <f t="shared" si="0"/>
        <v>42</v>
      </c>
      <c r="B49" s="153" t="s">
        <v>633</v>
      </c>
      <c r="C49" s="151" t="s">
        <v>632</v>
      </c>
      <c r="D49" s="128" t="s">
        <v>16</v>
      </c>
      <c r="E49" s="128"/>
      <c r="F49" s="128" t="s">
        <v>238</v>
      </c>
      <c r="G49" s="128">
        <v>1</v>
      </c>
      <c r="H49" s="128"/>
      <c r="I49" s="129" t="s">
        <v>19</v>
      </c>
      <c r="J49" s="152"/>
      <c r="K49" s="128"/>
      <c r="L49" s="151"/>
      <c r="M49" s="129"/>
      <c r="N49" s="151"/>
      <c r="O49" s="131"/>
      <c r="P49" s="130" t="s">
        <v>563</v>
      </c>
      <c r="Q49" s="165"/>
    </row>
    <row r="50" spans="1:17" ht="25.5" x14ac:dyDescent="0.2">
      <c r="A50" s="145">
        <f t="shared" si="0"/>
        <v>43</v>
      </c>
      <c r="B50" s="153" t="s">
        <v>518</v>
      </c>
      <c r="C50" s="151" t="s">
        <v>519</v>
      </c>
      <c r="D50" s="128" t="s">
        <v>16</v>
      </c>
      <c r="E50" s="128"/>
      <c r="F50" s="128" t="s">
        <v>238</v>
      </c>
      <c r="G50" s="128">
        <v>1</v>
      </c>
      <c r="H50" s="128"/>
      <c r="I50" s="129" t="s">
        <v>19</v>
      </c>
      <c r="J50" s="152"/>
      <c r="K50" s="128"/>
      <c r="L50" s="151"/>
      <c r="M50" s="129"/>
      <c r="N50" s="151"/>
      <c r="O50" s="131"/>
      <c r="P50" s="130" t="s">
        <v>563</v>
      </c>
      <c r="Q50" s="166"/>
    </row>
    <row r="51" spans="1:17" ht="51" x14ac:dyDescent="0.2">
      <c r="A51" s="143">
        <f t="shared" si="0"/>
        <v>44</v>
      </c>
      <c r="B51" s="153" t="s">
        <v>520</v>
      </c>
      <c r="C51" s="151" t="s">
        <v>521</v>
      </c>
      <c r="D51" s="128" t="s">
        <v>16</v>
      </c>
      <c r="E51" s="128"/>
      <c r="F51" s="128" t="s">
        <v>238</v>
      </c>
      <c r="G51" s="128">
        <v>1</v>
      </c>
      <c r="H51" s="128"/>
      <c r="I51" s="129" t="s">
        <v>19</v>
      </c>
      <c r="J51" s="152"/>
      <c r="K51" s="128"/>
      <c r="L51" s="151"/>
      <c r="M51" s="129"/>
      <c r="N51" s="151"/>
      <c r="O51" s="131"/>
      <c r="P51" s="130" t="s">
        <v>563</v>
      </c>
      <c r="Q51" s="167"/>
    </row>
    <row r="52" spans="1:17" ht="51" x14ac:dyDescent="0.2">
      <c r="A52" s="143">
        <f t="shared" si="0"/>
        <v>45</v>
      </c>
      <c r="B52" s="153" t="s">
        <v>522</v>
      </c>
      <c r="C52" s="151" t="s">
        <v>991</v>
      </c>
      <c r="D52" s="128" t="s">
        <v>16</v>
      </c>
      <c r="E52" s="128"/>
      <c r="F52" s="128" t="s">
        <v>914</v>
      </c>
      <c r="G52" s="128">
        <v>1</v>
      </c>
      <c r="H52" s="128"/>
      <c r="I52" s="129" t="s">
        <v>900</v>
      </c>
      <c r="J52" s="152"/>
      <c r="K52" s="128"/>
      <c r="L52" s="151"/>
      <c r="M52" s="129"/>
      <c r="N52" s="151"/>
      <c r="O52" s="131"/>
      <c r="P52" s="130" t="s">
        <v>563</v>
      </c>
      <c r="Q52" s="164" t="s">
        <v>992</v>
      </c>
    </row>
    <row r="53" spans="1:17" ht="38.25" x14ac:dyDescent="0.2">
      <c r="A53" s="143">
        <f t="shared" si="0"/>
        <v>46</v>
      </c>
      <c r="B53" s="153" t="s">
        <v>523</v>
      </c>
      <c r="C53" s="151" t="s">
        <v>524</v>
      </c>
      <c r="D53" s="128" t="s">
        <v>16</v>
      </c>
      <c r="E53" s="128"/>
      <c r="F53" s="128" t="s">
        <v>238</v>
      </c>
      <c r="G53" s="128">
        <v>1</v>
      </c>
      <c r="H53" s="128"/>
      <c r="I53" s="129" t="s">
        <v>19</v>
      </c>
      <c r="J53" s="152"/>
      <c r="K53" s="128"/>
      <c r="L53" s="151"/>
      <c r="M53" s="129"/>
      <c r="N53" s="151"/>
      <c r="O53" s="131"/>
      <c r="P53" s="130" t="s">
        <v>563</v>
      </c>
      <c r="Q53" s="166"/>
    </row>
    <row r="54" spans="1:17" ht="114.75" x14ac:dyDescent="0.2">
      <c r="A54" s="143">
        <f t="shared" si="0"/>
        <v>47</v>
      </c>
      <c r="B54" s="153" t="s">
        <v>525</v>
      </c>
      <c r="C54" s="151" t="s">
        <v>526</v>
      </c>
      <c r="D54" s="128" t="s">
        <v>16</v>
      </c>
      <c r="E54" s="128"/>
      <c r="F54" s="128" t="s">
        <v>238</v>
      </c>
      <c r="G54" s="128">
        <v>1</v>
      </c>
      <c r="H54" s="128"/>
      <c r="I54" s="129" t="s">
        <v>19</v>
      </c>
      <c r="J54" s="152"/>
      <c r="K54" s="128"/>
      <c r="L54" s="151"/>
      <c r="M54" s="129"/>
      <c r="N54" s="151"/>
      <c r="O54" s="131"/>
      <c r="P54" s="130" t="s">
        <v>563</v>
      </c>
      <c r="Q54" s="167"/>
    </row>
    <row r="55" spans="1:17" ht="38.25" x14ac:dyDescent="0.2">
      <c r="A55" s="143">
        <f t="shared" si="0"/>
        <v>48</v>
      </c>
      <c r="B55" s="153" t="s">
        <v>527</v>
      </c>
      <c r="C55" s="151" t="s">
        <v>528</v>
      </c>
      <c r="D55" s="128" t="s">
        <v>16</v>
      </c>
      <c r="E55" s="128"/>
      <c r="F55" s="128" t="s">
        <v>238</v>
      </c>
      <c r="G55" s="128">
        <v>1</v>
      </c>
      <c r="H55" s="128"/>
      <c r="I55" s="129" t="s">
        <v>19</v>
      </c>
      <c r="J55" s="152"/>
      <c r="K55" s="128"/>
      <c r="L55" s="151"/>
      <c r="M55" s="129"/>
      <c r="N55" s="151"/>
      <c r="O55" s="131"/>
      <c r="P55" s="130" t="s">
        <v>563</v>
      </c>
      <c r="Q55" s="166"/>
    </row>
    <row r="56" spans="1:17" ht="63.75" x14ac:dyDescent="0.2">
      <c r="A56" s="143">
        <f t="shared" si="0"/>
        <v>49</v>
      </c>
      <c r="B56" s="153" t="s">
        <v>529</v>
      </c>
      <c r="C56" s="151" t="s">
        <v>714</v>
      </c>
      <c r="D56" s="128" t="s">
        <v>16</v>
      </c>
      <c r="E56" s="128"/>
      <c r="F56" s="128" t="s">
        <v>238</v>
      </c>
      <c r="G56" s="128">
        <v>1</v>
      </c>
      <c r="H56" s="128"/>
      <c r="I56" s="129" t="s">
        <v>19</v>
      </c>
      <c r="J56" s="152"/>
      <c r="K56" s="128"/>
      <c r="L56" s="151"/>
      <c r="M56" s="129"/>
      <c r="N56" s="151"/>
      <c r="O56" s="131"/>
      <c r="P56" s="130" t="s">
        <v>563</v>
      </c>
      <c r="Q56" s="166"/>
    </row>
    <row r="57" spans="1:17" ht="102" x14ac:dyDescent="0.2">
      <c r="A57" s="145">
        <f t="shared" si="0"/>
        <v>50</v>
      </c>
      <c r="B57" s="153" t="s">
        <v>530</v>
      </c>
      <c r="C57" s="151" t="s">
        <v>531</v>
      </c>
      <c r="D57" s="128" t="s">
        <v>16</v>
      </c>
      <c r="E57" s="128"/>
      <c r="F57" s="128" t="s">
        <v>238</v>
      </c>
      <c r="G57" s="128">
        <v>1</v>
      </c>
      <c r="H57" s="128"/>
      <c r="I57" s="129" t="s">
        <v>19</v>
      </c>
      <c r="J57" s="152"/>
      <c r="K57" s="128"/>
      <c r="L57" s="151"/>
      <c r="M57" s="129"/>
      <c r="N57" s="151"/>
      <c r="O57" s="131"/>
      <c r="P57" s="130" t="s">
        <v>563</v>
      </c>
      <c r="Q57" s="165"/>
    </row>
    <row r="58" spans="1:17" ht="38.25" x14ac:dyDescent="0.2">
      <c r="A58" s="143">
        <f t="shared" si="0"/>
        <v>51</v>
      </c>
      <c r="B58" s="153" t="s">
        <v>532</v>
      </c>
      <c r="C58" s="151" t="s">
        <v>533</v>
      </c>
      <c r="D58" s="128" t="s">
        <v>16</v>
      </c>
      <c r="E58" s="128"/>
      <c r="F58" s="128" t="s">
        <v>238</v>
      </c>
      <c r="G58" s="128">
        <v>1</v>
      </c>
      <c r="H58" s="128"/>
      <c r="I58" s="129" t="s">
        <v>19</v>
      </c>
      <c r="J58" s="152"/>
      <c r="K58" s="128"/>
      <c r="L58" s="151"/>
      <c r="M58" s="129"/>
      <c r="N58" s="151"/>
      <c r="O58" s="131"/>
      <c r="P58" s="130" t="s">
        <v>563</v>
      </c>
      <c r="Q58" s="165"/>
    </row>
    <row r="59" spans="1:17" ht="63.75" x14ac:dyDescent="0.2">
      <c r="A59" s="143">
        <f t="shared" si="0"/>
        <v>52</v>
      </c>
      <c r="B59" s="153" t="s">
        <v>534</v>
      </c>
      <c r="C59" s="151" t="s">
        <v>535</v>
      </c>
      <c r="D59" s="128" t="s">
        <v>16</v>
      </c>
      <c r="E59" s="128"/>
      <c r="F59" s="128" t="s">
        <v>238</v>
      </c>
      <c r="G59" s="128">
        <v>1</v>
      </c>
      <c r="H59" s="128"/>
      <c r="I59" s="129" t="s">
        <v>19</v>
      </c>
      <c r="J59" s="152"/>
      <c r="K59" s="128"/>
      <c r="L59" s="151"/>
      <c r="M59" s="129"/>
      <c r="N59" s="151"/>
      <c r="O59" s="131"/>
      <c r="P59" s="130" t="s">
        <v>563</v>
      </c>
      <c r="Q59" s="165"/>
    </row>
    <row r="60" spans="1:17" ht="76.5" x14ac:dyDescent="0.2">
      <c r="A60" s="143">
        <f t="shared" si="0"/>
        <v>53</v>
      </c>
      <c r="B60" s="153" t="s">
        <v>536</v>
      </c>
      <c r="C60" s="151" t="s">
        <v>537</v>
      </c>
      <c r="D60" s="128" t="s">
        <v>16</v>
      </c>
      <c r="E60" s="128"/>
      <c r="F60" s="128" t="s">
        <v>238</v>
      </c>
      <c r="G60" s="128">
        <v>1</v>
      </c>
      <c r="H60" s="128"/>
      <c r="I60" s="129" t="s">
        <v>19</v>
      </c>
      <c r="J60" s="152"/>
      <c r="K60" s="128"/>
      <c r="L60" s="151"/>
      <c r="M60" s="129"/>
      <c r="N60" s="151"/>
      <c r="O60" s="131"/>
      <c r="P60" s="130" t="s">
        <v>563</v>
      </c>
      <c r="Q60" s="165"/>
    </row>
    <row r="61" spans="1:17" ht="76.5" x14ac:dyDescent="0.2">
      <c r="A61" s="143">
        <f t="shared" ref="A61:A74" si="1">A60+1</f>
        <v>54</v>
      </c>
      <c r="B61" s="153" t="s">
        <v>538</v>
      </c>
      <c r="C61" s="151" t="s">
        <v>539</v>
      </c>
      <c r="D61" s="128" t="s">
        <v>16</v>
      </c>
      <c r="E61" s="128"/>
      <c r="F61" s="128" t="s">
        <v>238</v>
      </c>
      <c r="G61" s="128">
        <v>1</v>
      </c>
      <c r="H61" s="128"/>
      <c r="I61" s="129" t="s">
        <v>19</v>
      </c>
      <c r="J61" s="152"/>
      <c r="K61" s="128"/>
      <c r="L61" s="151"/>
      <c r="M61" s="129"/>
      <c r="N61" s="151"/>
      <c r="O61" s="131"/>
      <c r="P61" s="130" t="s">
        <v>563</v>
      </c>
      <c r="Q61" s="165"/>
    </row>
    <row r="62" spans="1:17" ht="76.5" x14ac:dyDescent="0.2">
      <c r="A62" s="143">
        <f t="shared" si="1"/>
        <v>55</v>
      </c>
      <c r="B62" s="153" t="s">
        <v>540</v>
      </c>
      <c r="C62" s="151" t="s">
        <v>541</v>
      </c>
      <c r="D62" s="128" t="s">
        <v>16</v>
      </c>
      <c r="E62" s="128"/>
      <c r="F62" s="128" t="s">
        <v>238</v>
      </c>
      <c r="G62" s="128">
        <v>1</v>
      </c>
      <c r="H62" s="128"/>
      <c r="I62" s="129" t="s">
        <v>19</v>
      </c>
      <c r="J62" s="152"/>
      <c r="K62" s="128"/>
      <c r="L62" s="151"/>
      <c r="M62" s="129"/>
      <c r="N62" s="151"/>
      <c r="O62" s="131"/>
      <c r="P62" s="130" t="s">
        <v>563</v>
      </c>
      <c r="Q62" s="165"/>
    </row>
    <row r="63" spans="1:17" ht="51" x14ac:dyDescent="0.2">
      <c r="A63" s="143">
        <f t="shared" si="1"/>
        <v>56</v>
      </c>
      <c r="B63" s="153" t="s">
        <v>542</v>
      </c>
      <c r="C63" s="151" t="s">
        <v>715</v>
      </c>
      <c r="D63" s="128" t="s">
        <v>16</v>
      </c>
      <c r="E63" s="128"/>
      <c r="F63" s="128" t="s">
        <v>238</v>
      </c>
      <c r="G63" s="128">
        <v>1</v>
      </c>
      <c r="H63" s="128"/>
      <c r="I63" s="129" t="s">
        <v>19</v>
      </c>
      <c r="J63" s="152"/>
      <c r="K63" s="128"/>
      <c r="L63" s="151"/>
      <c r="M63" s="129"/>
      <c r="N63" s="151"/>
      <c r="O63" s="131"/>
      <c r="P63" s="130" t="s">
        <v>563</v>
      </c>
      <c r="Q63" s="165"/>
    </row>
    <row r="64" spans="1:17" ht="25.5" x14ac:dyDescent="0.2">
      <c r="A64" s="143">
        <f t="shared" si="1"/>
        <v>57</v>
      </c>
      <c r="B64" s="153" t="s">
        <v>543</v>
      </c>
      <c r="C64" s="151" t="s">
        <v>544</v>
      </c>
      <c r="D64" s="128" t="s">
        <v>16</v>
      </c>
      <c r="E64" s="128"/>
      <c r="F64" s="128" t="s">
        <v>238</v>
      </c>
      <c r="G64" s="128">
        <v>1</v>
      </c>
      <c r="H64" s="128"/>
      <c r="I64" s="129" t="s">
        <v>19</v>
      </c>
      <c r="J64" s="152"/>
      <c r="K64" s="128"/>
      <c r="L64" s="151"/>
      <c r="M64" s="129"/>
      <c r="N64" s="151"/>
      <c r="O64" s="131"/>
      <c r="P64" s="130" t="s">
        <v>563</v>
      </c>
      <c r="Q64" s="165"/>
    </row>
    <row r="65" spans="1:17" ht="63.75" x14ac:dyDescent="0.2">
      <c r="A65" s="145">
        <f t="shared" si="1"/>
        <v>58</v>
      </c>
      <c r="B65" s="153" t="s">
        <v>545</v>
      </c>
      <c r="C65" s="151" t="s">
        <v>546</v>
      </c>
      <c r="D65" s="128" t="s">
        <v>16</v>
      </c>
      <c r="E65" s="128"/>
      <c r="F65" s="128" t="s">
        <v>238</v>
      </c>
      <c r="G65" s="128">
        <v>1</v>
      </c>
      <c r="H65" s="128"/>
      <c r="I65" s="129" t="s">
        <v>19</v>
      </c>
      <c r="J65" s="152"/>
      <c r="K65" s="128"/>
      <c r="L65" s="151"/>
      <c r="M65" s="129"/>
      <c r="N65" s="151"/>
      <c r="O65" s="131"/>
      <c r="P65" s="130" t="s">
        <v>563</v>
      </c>
      <c r="Q65" s="165"/>
    </row>
    <row r="66" spans="1:17" ht="63.75" x14ac:dyDescent="0.2">
      <c r="A66" s="143">
        <f t="shared" si="1"/>
        <v>59</v>
      </c>
      <c r="B66" s="153" t="s">
        <v>547</v>
      </c>
      <c r="C66" s="151" t="s">
        <v>548</v>
      </c>
      <c r="D66" s="128" t="s">
        <v>16</v>
      </c>
      <c r="E66" s="128"/>
      <c r="F66" s="128" t="s">
        <v>238</v>
      </c>
      <c r="G66" s="128">
        <v>1</v>
      </c>
      <c r="H66" s="128"/>
      <c r="I66" s="129" t="s">
        <v>19</v>
      </c>
      <c r="J66" s="152"/>
      <c r="K66" s="128"/>
      <c r="L66" s="151"/>
      <c r="M66" s="129"/>
      <c r="N66" s="151"/>
      <c r="O66" s="131"/>
      <c r="P66" s="130" t="s">
        <v>563</v>
      </c>
      <c r="Q66" s="165"/>
    </row>
    <row r="67" spans="1:17" ht="63.75" x14ac:dyDescent="0.2">
      <c r="A67" s="143">
        <f t="shared" si="1"/>
        <v>60</v>
      </c>
      <c r="B67" s="153" t="s">
        <v>549</v>
      </c>
      <c r="C67" s="151" t="s">
        <v>550</v>
      </c>
      <c r="D67" s="128" t="s">
        <v>16</v>
      </c>
      <c r="E67" s="128"/>
      <c r="F67" s="128" t="s">
        <v>238</v>
      </c>
      <c r="G67" s="128">
        <v>1</v>
      </c>
      <c r="H67" s="128"/>
      <c r="I67" s="129" t="s">
        <v>19</v>
      </c>
      <c r="J67" s="152"/>
      <c r="K67" s="128"/>
      <c r="L67" s="151"/>
      <c r="M67" s="129"/>
      <c r="N67" s="151"/>
      <c r="O67" s="131"/>
      <c r="P67" s="130" t="s">
        <v>563</v>
      </c>
      <c r="Q67" s="165"/>
    </row>
    <row r="68" spans="1:17" ht="76.5" x14ac:dyDescent="0.2">
      <c r="A68" s="143">
        <f t="shared" si="1"/>
        <v>61</v>
      </c>
      <c r="B68" s="153" t="s">
        <v>551</v>
      </c>
      <c r="C68" s="151" t="s">
        <v>993</v>
      </c>
      <c r="D68" s="128" t="s">
        <v>16</v>
      </c>
      <c r="E68" s="128"/>
      <c r="F68" s="128" t="s">
        <v>914</v>
      </c>
      <c r="G68" s="128">
        <v>1</v>
      </c>
      <c r="H68" s="128"/>
      <c r="I68" s="129" t="s">
        <v>900</v>
      </c>
      <c r="J68" s="152"/>
      <c r="K68" s="128"/>
      <c r="L68" s="151"/>
      <c r="M68" s="129"/>
      <c r="N68" s="151"/>
      <c r="O68" s="131"/>
      <c r="P68" s="130" t="s">
        <v>563</v>
      </c>
      <c r="Q68" s="164" t="s">
        <v>989</v>
      </c>
    </row>
    <row r="69" spans="1:17" ht="89.25" x14ac:dyDescent="0.2">
      <c r="A69" s="143">
        <f t="shared" si="1"/>
        <v>62</v>
      </c>
      <c r="B69" s="153" t="s">
        <v>552</v>
      </c>
      <c r="C69" s="151" t="s">
        <v>553</v>
      </c>
      <c r="D69" s="128" t="s">
        <v>16</v>
      </c>
      <c r="E69" s="128"/>
      <c r="F69" s="128" t="s">
        <v>238</v>
      </c>
      <c r="G69" s="128">
        <v>1</v>
      </c>
      <c r="H69" s="128"/>
      <c r="I69" s="129" t="s">
        <v>19</v>
      </c>
      <c r="J69" s="152"/>
      <c r="K69" s="128"/>
      <c r="L69" s="151"/>
      <c r="M69" s="129"/>
      <c r="N69" s="151"/>
      <c r="O69" s="131"/>
      <c r="P69" s="130" t="s">
        <v>563</v>
      </c>
      <c r="Q69" s="165"/>
    </row>
    <row r="70" spans="1:17" ht="63.75" x14ac:dyDescent="0.2">
      <c r="A70" s="143">
        <f t="shared" si="1"/>
        <v>63</v>
      </c>
      <c r="B70" s="153" t="s">
        <v>554</v>
      </c>
      <c r="C70" s="151" t="s">
        <v>555</v>
      </c>
      <c r="D70" s="128" t="s">
        <v>16</v>
      </c>
      <c r="E70" s="128"/>
      <c r="F70" s="128" t="s">
        <v>238</v>
      </c>
      <c r="G70" s="128">
        <v>1</v>
      </c>
      <c r="H70" s="128"/>
      <c r="I70" s="129" t="s">
        <v>19</v>
      </c>
      <c r="J70" s="152"/>
      <c r="K70" s="128"/>
      <c r="L70" s="151"/>
      <c r="M70" s="129"/>
      <c r="N70" s="151"/>
      <c r="O70" s="131"/>
      <c r="P70" s="130" t="s">
        <v>563</v>
      </c>
      <c r="Q70" s="165"/>
    </row>
    <row r="71" spans="1:17" ht="153" x14ac:dyDescent="0.2">
      <c r="A71" s="143">
        <f t="shared" si="1"/>
        <v>64</v>
      </c>
      <c r="B71" s="153" t="s">
        <v>556</v>
      </c>
      <c r="C71" s="151" t="s">
        <v>557</v>
      </c>
      <c r="D71" s="128" t="s">
        <v>16</v>
      </c>
      <c r="E71" s="128"/>
      <c r="F71" s="128" t="s">
        <v>238</v>
      </c>
      <c r="G71" s="128">
        <v>1</v>
      </c>
      <c r="H71" s="128"/>
      <c r="I71" s="129" t="s">
        <v>19</v>
      </c>
      <c r="J71" s="152"/>
      <c r="K71" s="128"/>
      <c r="L71" s="151"/>
      <c r="M71" s="129"/>
      <c r="N71" s="151"/>
      <c r="O71" s="131"/>
      <c r="P71" s="130" t="s">
        <v>563</v>
      </c>
      <c r="Q71" s="165"/>
    </row>
    <row r="72" spans="1:17" ht="76.5" x14ac:dyDescent="0.2">
      <c r="A72" s="143">
        <f t="shared" si="1"/>
        <v>65</v>
      </c>
      <c r="B72" s="153" t="s">
        <v>558</v>
      </c>
      <c r="C72" s="151" t="s">
        <v>994</v>
      </c>
      <c r="D72" s="128" t="s">
        <v>16</v>
      </c>
      <c r="E72" s="128"/>
      <c r="F72" s="128" t="s">
        <v>914</v>
      </c>
      <c r="G72" s="128">
        <v>1</v>
      </c>
      <c r="H72" s="128"/>
      <c r="I72" s="129" t="s">
        <v>900</v>
      </c>
      <c r="J72" s="152"/>
      <c r="K72" s="128"/>
      <c r="L72" s="151"/>
      <c r="M72" s="129"/>
      <c r="N72" s="151"/>
      <c r="O72" s="131"/>
      <c r="P72" s="130" t="s">
        <v>563</v>
      </c>
      <c r="Q72" s="164" t="s">
        <v>989</v>
      </c>
    </row>
    <row r="73" spans="1:17" ht="76.5" x14ac:dyDescent="0.2">
      <c r="A73" s="145">
        <f t="shared" si="1"/>
        <v>66</v>
      </c>
      <c r="B73" s="153" t="s">
        <v>559</v>
      </c>
      <c r="C73" s="151" t="s">
        <v>560</v>
      </c>
      <c r="D73" s="128" t="s">
        <v>16</v>
      </c>
      <c r="E73" s="128"/>
      <c r="F73" s="128" t="s">
        <v>238</v>
      </c>
      <c r="G73" s="128">
        <v>1</v>
      </c>
      <c r="H73" s="128"/>
      <c r="I73" s="129" t="s">
        <v>19</v>
      </c>
      <c r="J73" s="152"/>
      <c r="K73" s="128"/>
      <c r="L73" s="151"/>
      <c r="M73" s="129"/>
      <c r="N73" s="151"/>
      <c r="O73" s="131"/>
      <c r="P73" s="130" t="s">
        <v>563</v>
      </c>
      <c r="Q73" s="165"/>
    </row>
    <row r="74" spans="1:17" ht="89.25" x14ac:dyDescent="0.2">
      <c r="A74" s="143">
        <f t="shared" si="1"/>
        <v>67</v>
      </c>
      <c r="B74" s="153" t="s">
        <v>561</v>
      </c>
      <c r="C74" s="151" t="s">
        <v>562</v>
      </c>
      <c r="D74" s="128" t="s">
        <v>16</v>
      </c>
      <c r="E74" s="128"/>
      <c r="F74" s="128" t="s">
        <v>238</v>
      </c>
      <c r="G74" s="128">
        <v>1</v>
      </c>
      <c r="H74" s="128"/>
      <c r="I74" s="129" t="s">
        <v>19</v>
      </c>
      <c r="J74" s="152"/>
      <c r="K74" s="128"/>
      <c r="L74" s="151"/>
      <c r="M74" s="129"/>
      <c r="N74" s="151"/>
      <c r="O74" s="131"/>
      <c r="P74" s="130" t="s">
        <v>563</v>
      </c>
      <c r="Q74" s="165"/>
    </row>
  </sheetData>
  <autoFilter ref="A5:Q74"/>
  <mergeCells count="2">
    <mergeCell ref="B2:R2"/>
    <mergeCell ref="B3:L3"/>
  </mergeCells>
  <conditionalFormatting sqref="O9:P9">
    <cfRule type="cellIs" dxfId="1515" priority="42" stopIfTrue="1" operator="equal">
      <formula>#REF!</formula>
    </cfRule>
  </conditionalFormatting>
  <conditionalFormatting sqref="O8:P8">
    <cfRule type="cellIs" dxfId="1514" priority="35" stopIfTrue="1" operator="equal">
      <formula>#REF!</formula>
    </cfRule>
  </conditionalFormatting>
  <conditionalFormatting sqref="O17:P17">
    <cfRule type="cellIs" dxfId="1513" priority="16" stopIfTrue="1" operator="equal">
      <formula>#REF!</formula>
    </cfRule>
  </conditionalFormatting>
  <conditionalFormatting sqref="O12:P48 O50:P74">
    <cfRule type="cellIs" dxfId="1512" priority="22" stopIfTrue="1" operator="equal">
      <formula>#REF!</formula>
    </cfRule>
  </conditionalFormatting>
  <conditionalFormatting sqref="O32:P32">
    <cfRule type="cellIs" dxfId="1511" priority="21" stopIfTrue="1" operator="equal">
      <formula>#REF!</formula>
    </cfRule>
  </conditionalFormatting>
  <conditionalFormatting sqref="O50:P50">
    <cfRule type="cellIs" dxfId="1510" priority="20" stopIfTrue="1" operator="equal">
      <formula>#REF!</formula>
    </cfRule>
  </conditionalFormatting>
  <conditionalFormatting sqref="O51:P51">
    <cfRule type="cellIs" dxfId="1509" priority="19" stopIfTrue="1" operator="equal">
      <formula>#REF!</formula>
    </cfRule>
  </conditionalFormatting>
  <conditionalFormatting sqref="O53:P53">
    <cfRule type="cellIs" dxfId="1508" priority="18" stopIfTrue="1" operator="equal">
      <formula>#REF!</formula>
    </cfRule>
  </conditionalFormatting>
  <conditionalFormatting sqref="O54:P54">
    <cfRule type="cellIs" dxfId="1507" priority="17" stopIfTrue="1" operator="equal">
      <formula>#REF!</formula>
    </cfRule>
  </conditionalFormatting>
  <conditionalFormatting sqref="O34:P34">
    <cfRule type="cellIs" dxfId="1506" priority="15" stopIfTrue="1" operator="equal">
      <formula>#REF!</formula>
    </cfRule>
  </conditionalFormatting>
  <conditionalFormatting sqref="O35:P35">
    <cfRule type="cellIs" dxfId="1505" priority="14" stopIfTrue="1" operator="equal">
      <formula>#REF!</formula>
    </cfRule>
  </conditionalFormatting>
  <conditionalFormatting sqref="O37:P37">
    <cfRule type="cellIs" dxfId="1504" priority="13" stopIfTrue="1" operator="equal">
      <formula>#REF!</formula>
    </cfRule>
  </conditionalFormatting>
  <conditionalFormatting sqref="O38:P38">
    <cfRule type="cellIs" dxfId="1503" priority="12" stopIfTrue="1" operator="equal">
      <formula>#REF!</formula>
    </cfRule>
  </conditionalFormatting>
  <conditionalFormatting sqref="O29:P29">
    <cfRule type="cellIs" dxfId="1502" priority="11" stopIfTrue="1" operator="equal">
      <formula>#REF!</formula>
    </cfRule>
  </conditionalFormatting>
  <conditionalFormatting sqref="O14:P14">
    <cfRule type="cellIs" dxfId="1501" priority="10" stopIfTrue="1" operator="equal">
      <formula>#REF!</formula>
    </cfRule>
  </conditionalFormatting>
  <conditionalFormatting sqref="O31:P31">
    <cfRule type="cellIs" dxfId="1500" priority="9" stopIfTrue="1" operator="equal">
      <formula>#REF!</formula>
    </cfRule>
  </conditionalFormatting>
  <conditionalFormatting sqref="O32:P32">
    <cfRule type="cellIs" dxfId="1499" priority="8" stopIfTrue="1" operator="equal">
      <formula>#REF!</formula>
    </cfRule>
  </conditionalFormatting>
  <conditionalFormatting sqref="O34:P34">
    <cfRule type="cellIs" dxfId="1498" priority="7" stopIfTrue="1" operator="equal">
      <formula>#REF!</formula>
    </cfRule>
  </conditionalFormatting>
  <conditionalFormatting sqref="O35:P35">
    <cfRule type="cellIs" dxfId="1497" priority="6" stopIfTrue="1" operator="equal">
      <formula>#REF!</formula>
    </cfRule>
  </conditionalFormatting>
  <conditionalFormatting sqref="O12:P13">
    <cfRule type="cellIs" dxfId="1496" priority="5" stopIfTrue="1" operator="equal">
      <formula>#REF!</formula>
    </cfRule>
  </conditionalFormatting>
  <conditionalFormatting sqref="P15">
    <cfRule type="cellIs" dxfId="1495" priority="4" stopIfTrue="1" operator="equal">
      <formula>#REF!</formula>
    </cfRule>
  </conditionalFormatting>
  <conditionalFormatting sqref="O49:P49">
    <cfRule type="cellIs" dxfId="1494" priority="3" stopIfTrue="1" operator="equal">
      <formula>#REF!</formula>
    </cfRule>
  </conditionalFormatting>
  <conditionalFormatting sqref="O10:P10">
    <cfRule type="cellIs" dxfId="1493" priority="2" stopIfTrue="1" operator="equal">
      <formula>#REF!</formula>
    </cfRule>
  </conditionalFormatting>
  <conditionalFormatting sqref="O11:P11">
    <cfRule type="cellIs" dxfId="1492" priority="1" stopIfTrue="1" operator="equal">
      <formula>#REF!</formula>
    </cfRule>
  </conditionalFormatting>
  <dataValidations count="5">
    <dataValidation type="list" allowBlank="1" showInputMessage="1" showErrorMessage="1" sqref="D8:D74">
      <formula1>Priorité</formula1>
    </dataValidation>
    <dataValidation type="list" allowBlank="1" showInputMessage="1" showErrorMessage="1" sqref="M8:M74">
      <formula1>Conformité</formula1>
    </dataValidation>
    <dataValidation type="list" allowBlank="1" showInputMessage="1" showErrorMessage="1" sqref="I8:I74">
      <formula1>Etat</formula1>
    </dataValidation>
    <dataValidation type="list" allowBlank="1" showInputMessage="1" showErrorMessage="1" sqref="G8:G74">
      <formula1>"1,2,3"</formula1>
    </dataValidation>
    <dataValidation type="list" allowBlank="1" showInputMessage="1" showErrorMessage="1" sqref="H8:H74">
      <formula1>"complexe,normale,simple"</formula1>
    </dataValidation>
  </dataValidations>
  <printOptions horizontalCentered="1" verticalCentered="1"/>
  <pageMargins left="0" right="0" top="0.35433070866141736" bottom="0.39370078740157483" header="0.31496062992125984" footer="0.15748031496062992"/>
  <pageSetup paperSize="9" scale="62" orientation="landscape" verticalDpi="300"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fonctionnelle3">
    <tabColor indexed="13"/>
    <pageSetUpPr fitToPage="1"/>
  </sheetPr>
  <dimension ref="A1:T16"/>
  <sheetViews>
    <sheetView showGridLines="0" tabSelected="1" zoomScaleNormal="100" workbookViewId="0">
      <selection activeCell="C12" sqref="C12"/>
    </sheetView>
  </sheetViews>
  <sheetFormatPr baseColWidth="10" defaultRowHeight="12.75" x14ac:dyDescent="0.2"/>
  <cols>
    <col min="1" max="1" width="4.85546875" style="143" customWidth="1"/>
    <col min="2" max="2" width="41.140625" style="135" customWidth="1"/>
    <col min="3" max="3" width="93.7109375" style="135" customWidth="1"/>
    <col min="4" max="4" width="9.85546875" style="135" bestFit="1" customWidth="1"/>
    <col min="5" max="5" width="10.42578125" style="135" customWidth="1"/>
    <col min="6" max="6" width="11.28515625" style="135" customWidth="1"/>
    <col min="7" max="7" width="9" style="135" customWidth="1"/>
    <col min="8" max="8" width="10.28515625" style="135" hidden="1" customWidth="1"/>
    <col min="9" max="9" width="12.42578125" style="136" customWidth="1"/>
    <col min="10" max="10" width="11.85546875" style="136" hidden="1" customWidth="1"/>
    <col min="11" max="11" width="11.28515625" style="136" hidden="1" customWidth="1"/>
    <col min="12" max="12" width="15.28515625" style="136" hidden="1" customWidth="1"/>
    <col min="13" max="13" width="17.28515625" style="136" hidden="1" customWidth="1"/>
    <col min="14" max="14" width="17.7109375" style="136" hidden="1" customWidth="1"/>
    <col min="15" max="15" width="10.7109375" style="136" hidden="1" customWidth="1"/>
    <col min="16" max="16" width="16.5703125" style="135" customWidth="1"/>
    <col min="17" max="17" width="52.85546875" customWidth="1"/>
    <col min="18" max="18" width="14.28515625" bestFit="1" customWidth="1"/>
    <col min="20" max="20" width="9.42578125" bestFit="1" customWidth="1"/>
    <col min="21" max="21" width="12" bestFit="1" customWidth="1"/>
    <col min="22" max="22" width="7" customWidth="1"/>
    <col min="23" max="23" width="9" bestFit="1" customWidth="1"/>
  </cols>
  <sheetData>
    <row r="1" spans="1:20" x14ac:dyDescent="0.2">
      <c r="B1" s="148" t="s">
        <v>40</v>
      </c>
      <c r="C1" s="109" t="s">
        <v>65</v>
      </c>
      <c r="D1" s="109"/>
      <c r="E1" s="109"/>
      <c r="F1" s="109" t="s">
        <v>65</v>
      </c>
      <c r="G1" s="109"/>
      <c r="H1" s="109"/>
      <c r="I1" s="109"/>
      <c r="J1" s="109"/>
      <c r="K1" s="109"/>
      <c r="L1" s="109"/>
      <c r="M1" s="109"/>
      <c r="N1" s="109"/>
      <c r="O1" s="109"/>
      <c r="P1" s="109"/>
      <c r="Q1" s="109"/>
      <c r="R1" s="109"/>
      <c r="S1" s="109"/>
      <c r="T1" s="109"/>
    </row>
    <row r="2" spans="1:20" ht="12.75" customHeight="1" x14ac:dyDescent="0.2">
      <c r="B2" s="260" t="s">
        <v>103</v>
      </c>
      <c r="C2" s="260"/>
      <c r="D2" s="260"/>
      <c r="E2" s="260"/>
      <c r="F2" s="260"/>
      <c r="G2" s="260"/>
      <c r="H2" s="260"/>
      <c r="I2" s="260"/>
      <c r="J2" s="260"/>
      <c r="K2" s="260"/>
      <c r="L2" s="260"/>
      <c r="M2" s="260"/>
      <c r="N2" s="260"/>
      <c r="O2" s="260"/>
      <c r="P2" s="260"/>
      <c r="Q2" s="260"/>
      <c r="R2" s="260"/>
    </row>
    <row r="3" spans="1:20" x14ac:dyDescent="0.2">
      <c r="B3" s="258" t="s">
        <v>42</v>
      </c>
      <c r="C3" s="258"/>
      <c r="D3" s="258"/>
      <c r="E3" s="258"/>
      <c r="F3" s="258"/>
      <c r="G3" s="258"/>
      <c r="H3" s="258"/>
      <c r="I3" s="258"/>
      <c r="J3" s="258"/>
      <c r="K3" s="258"/>
      <c r="L3" s="258"/>
      <c r="M3" s="149"/>
      <c r="N3" s="149"/>
      <c r="O3" s="149"/>
      <c r="P3" s="147"/>
      <c r="Q3" s="66"/>
      <c r="R3" s="13"/>
    </row>
    <row r="4" spans="1:20" ht="13.5" thickBot="1" x14ac:dyDescent="0.25">
      <c r="B4" s="134"/>
      <c r="C4" s="134"/>
      <c r="D4" s="134"/>
      <c r="E4" s="134"/>
      <c r="F4" s="134"/>
      <c r="G4" s="134"/>
      <c r="H4" s="134"/>
      <c r="I4" s="134"/>
      <c r="J4" s="134"/>
      <c r="K4" s="134"/>
      <c r="L4" s="134"/>
      <c r="M4" s="134"/>
      <c r="N4" s="134"/>
      <c r="O4" s="134"/>
      <c r="P4" s="134"/>
      <c r="Q4" s="36"/>
    </row>
    <row r="5" spans="1:20" s="87" customFormat="1" ht="11.25" x14ac:dyDescent="0.2">
      <c r="A5" s="144"/>
      <c r="B5" s="88" t="s">
        <v>95</v>
      </c>
      <c r="C5" s="89" t="s">
        <v>96</v>
      </c>
      <c r="D5" s="89" t="s">
        <v>97</v>
      </c>
      <c r="E5" s="89"/>
      <c r="F5" s="89"/>
      <c r="G5" s="89"/>
      <c r="H5" s="89"/>
      <c r="I5" s="89"/>
      <c r="J5" s="90"/>
      <c r="K5" s="90"/>
      <c r="L5" s="90"/>
      <c r="M5" s="90"/>
      <c r="N5" s="90"/>
      <c r="O5" s="95"/>
      <c r="P5" s="95"/>
      <c r="Q5" s="96"/>
    </row>
    <row r="6" spans="1:20" s="87" customFormat="1" ht="12" thickBot="1" x14ac:dyDescent="0.25">
      <c r="A6" s="144"/>
      <c r="B6" s="91">
        <f>COUNTA(B8:B882)</f>
        <v>9</v>
      </c>
      <c r="C6" s="92">
        <f>SUBTOTAL(3,B8:B882)</f>
        <v>9</v>
      </c>
      <c r="D6" s="93">
        <f>IF(C6=0,0,$C$6/$B$6)</f>
        <v>1</v>
      </c>
      <c r="E6" s="93"/>
      <c r="F6" s="93"/>
      <c r="G6" s="92"/>
      <c r="H6" s="92"/>
      <c r="I6" s="92"/>
      <c r="J6" s="94"/>
      <c r="K6" s="94"/>
      <c r="L6" s="94"/>
      <c r="M6" s="99"/>
      <c r="N6" s="99"/>
      <c r="P6" s="98"/>
      <c r="Q6" s="97"/>
    </row>
    <row r="7" spans="1:20" ht="42.75" customHeight="1" thickBot="1" x14ac:dyDescent="0.25">
      <c r="B7" s="117" t="s">
        <v>14</v>
      </c>
      <c r="C7" s="12" t="s">
        <v>13</v>
      </c>
      <c r="D7" s="12" t="s">
        <v>129</v>
      </c>
      <c r="E7" s="12" t="s">
        <v>113</v>
      </c>
      <c r="F7" s="12" t="s">
        <v>102</v>
      </c>
      <c r="G7" s="12" t="s">
        <v>131</v>
      </c>
      <c r="H7" s="12" t="s">
        <v>130</v>
      </c>
      <c r="I7" s="12" t="s">
        <v>111</v>
      </c>
      <c r="J7" s="12" t="s">
        <v>15</v>
      </c>
      <c r="K7" s="12" t="s">
        <v>30</v>
      </c>
      <c r="L7" s="12" t="s">
        <v>123</v>
      </c>
      <c r="M7" s="12" t="s">
        <v>75</v>
      </c>
      <c r="N7" s="12" t="s">
        <v>76</v>
      </c>
      <c r="O7" s="12" t="s">
        <v>133</v>
      </c>
      <c r="P7" s="12" t="s">
        <v>67</v>
      </c>
      <c r="Q7" s="37" t="s">
        <v>132</v>
      </c>
    </row>
    <row r="8" spans="1:20" ht="76.5" x14ac:dyDescent="0.2">
      <c r="A8" s="143">
        <v>1</v>
      </c>
      <c r="B8" s="150" t="s">
        <v>581</v>
      </c>
      <c r="C8" s="202" t="s">
        <v>941</v>
      </c>
      <c r="D8" s="203" t="s">
        <v>16</v>
      </c>
      <c r="E8" s="203"/>
      <c r="F8" s="203" t="s">
        <v>914</v>
      </c>
      <c r="G8" s="203">
        <v>1</v>
      </c>
      <c r="H8" s="203"/>
      <c r="I8" s="204" t="s">
        <v>900</v>
      </c>
      <c r="J8" s="205"/>
      <c r="K8" s="203"/>
      <c r="L8" s="202"/>
      <c r="M8" s="204"/>
      <c r="N8" s="202"/>
      <c r="O8" s="203"/>
      <c r="P8" s="204" t="s">
        <v>903</v>
      </c>
      <c r="Q8" s="125" t="s">
        <v>942</v>
      </c>
    </row>
    <row r="9" spans="1:20" x14ac:dyDescent="0.2">
      <c r="A9" s="143">
        <f>A8+1</f>
        <v>2</v>
      </c>
      <c r="B9" s="150" t="s">
        <v>610</v>
      </c>
      <c r="C9" s="202" t="s">
        <v>609</v>
      </c>
      <c r="D9" s="203" t="s">
        <v>16</v>
      </c>
      <c r="E9" s="203"/>
      <c r="F9" s="203" t="s">
        <v>238</v>
      </c>
      <c r="G9" s="203">
        <v>1</v>
      </c>
      <c r="H9" s="203"/>
      <c r="I9" s="204" t="s">
        <v>19</v>
      </c>
      <c r="J9" s="205"/>
      <c r="K9" s="203"/>
      <c r="L9" s="202"/>
      <c r="M9" s="204"/>
      <c r="N9" s="202"/>
      <c r="O9" s="203"/>
      <c r="P9" s="204" t="s">
        <v>903</v>
      </c>
      <c r="Q9" s="125"/>
    </row>
    <row r="10" spans="1:20" x14ac:dyDescent="0.2">
      <c r="A10" s="143">
        <f t="shared" ref="A10:A11" si="0">A9+1</f>
        <v>3</v>
      </c>
      <c r="B10" s="150" t="s">
        <v>627</v>
      </c>
      <c r="C10" s="202" t="s">
        <v>626</v>
      </c>
      <c r="D10" s="203" t="s">
        <v>16</v>
      </c>
      <c r="E10" s="203"/>
      <c r="F10" s="203" t="s">
        <v>238</v>
      </c>
      <c r="G10" s="203">
        <v>2</v>
      </c>
      <c r="H10" s="203"/>
      <c r="I10" s="204" t="s">
        <v>19</v>
      </c>
      <c r="J10" s="205"/>
      <c r="K10" s="203"/>
      <c r="L10" s="202"/>
      <c r="M10" s="204"/>
      <c r="N10" s="202"/>
      <c r="O10" s="203"/>
      <c r="P10" s="204" t="s">
        <v>903</v>
      </c>
      <c r="Q10" s="125"/>
    </row>
    <row r="11" spans="1:20" ht="178.5" x14ac:dyDescent="0.2">
      <c r="A11" s="143">
        <f t="shared" si="0"/>
        <v>4</v>
      </c>
      <c r="B11" s="150" t="s">
        <v>582</v>
      </c>
      <c r="C11" s="202" t="s">
        <v>647</v>
      </c>
      <c r="D11" s="203" t="s">
        <v>16</v>
      </c>
      <c r="E11" s="203"/>
      <c r="F11" s="203" t="s">
        <v>238</v>
      </c>
      <c r="G11" s="203">
        <v>1</v>
      </c>
      <c r="H11" s="203"/>
      <c r="I11" s="204" t="s">
        <v>19</v>
      </c>
      <c r="J11" s="205"/>
      <c r="K11" s="203"/>
      <c r="L11" s="202"/>
      <c r="M11" s="204"/>
      <c r="N11" s="202"/>
      <c r="O11" s="203"/>
      <c r="P11" s="204" t="s">
        <v>903</v>
      </c>
      <c r="Q11" s="125" t="s">
        <v>648</v>
      </c>
    </row>
    <row r="12" spans="1:20" ht="89.25" x14ac:dyDescent="0.2">
      <c r="A12" s="143">
        <f t="shared" ref="A12" si="1">A11+1</f>
        <v>5</v>
      </c>
      <c r="B12" s="150" t="s">
        <v>611</v>
      </c>
      <c r="C12" s="202" t="s">
        <v>614</v>
      </c>
      <c r="D12" s="203" t="s">
        <v>16</v>
      </c>
      <c r="E12" s="203"/>
      <c r="F12" s="203" t="s">
        <v>238</v>
      </c>
      <c r="G12" s="203">
        <v>1</v>
      </c>
      <c r="H12" s="203"/>
      <c r="I12" s="204" t="s">
        <v>19</v>
      </c>
      <c r="J12" s="205"/>
      <c r="K12" s="203"/>
      <c r="L12" s="202"/>
      <c r="M12" s="204"/>
      <c r="N12" s="202"/>
      <c r="O12" s="203"/>
      <c r="P12" s="204" t="s">
        <v>903</v>
      </c>
      <c r="Q12" s="104"/>
    </row>
    <row r="13" spans="1:20" ht="25.5" x14ac:dyDescent="0.2">
      <c r="A13" s="143">
        <v>6</v>
      </c>
      <c r="B13" s="150" t="s">
        <v>612</v>
      </c>
      <c r="C13" s="202" t="s">
        <v>613</v>
      </c>
      <c r="D13" s="203" t="s">
        <v>16</v>
      </c>
      <c r="E13" s="203"/>
      <c r="F13" s="203" t="s">
        <v>238</v>
      </c>
      <c r="G13" s="203">
        <v>1</v>
      </c>
      <c r="H13" s="203"/>
      <c r="I13" s="204" t="s">
        <v>19</v>
      </c>
      <c r="J13" s="205"/>
      <c r="K13" s="203"/>
      <c r="L13" s="202"/>
      <c r="M13" s="204"/>
      <c r="N13" s="202"/>
      <c r="O13" s="203"/>
      <c r="P13" s="204" t="s">
        <v>903</v>
      </c>
      <c r="Q13" s="104"/>
    </row>
    <row r="14" spans="1:20" ht="76.5" x14ac:dyDescent="0.2">
      <c r="A14" s="143">
        <v>7</v>
      </c>
      <c r="B14" s="150" t="s">
        <v>616</v>
      </c>
      <c r="C14" s="202" t="s">
        <v>694</v>
      </c>
      <c r="D14" s="203" t="s">
        <v>16</v>
      </c>
      <c r="E14" s="203"/>
      <c r="F14" s="203" t="s">
        <v>238</v>
      </c>
      <c r="G14" s="203">
        <v>1</v>
      </c>
      <c r="H14" s="203"/>
      <c r="I14" s="204" t="s">
        <v>19</v>
      </c>
      <c r="J14" s="205"/>
      <c r="K14" s="203"/>
      <c r="L14" s="202"/>
      <c r="M14" s="204"/>
      <c r="N14" s="202"/>
      <c r="O14" s="203"/>
      <c r="P14" s="204" t="s">
        <v>903</v>
      </c>
      <c r="Q14" s="104"/>
    </row>
    <row r="15" spans="1:20" ht="25.5" x14ac:dyDescent="0.2">
      <c r="A15" s="143">
        <v>8</v>
      </c>
      <c r="B15" s="150" t="s">
        <v>617</v>
      </c>
      <c r="C15" s="202" t="s">
        <v>618</v>
      </c>
      <c r="D15" s="203" t="s">
        <v>16</v>
      </c>
      <c r="E15" s="203"/>
      <c r="F15" s="203" t="s">
        <v>238</v>
      </c>
      <c r="G15" s="203">
        <v>1</v>
      </c>
      <c r="H15" s="203"/>
      <c r="I15" s="204" t="s">
        <v>19</v>
      </c>
      <c r="J15" s="205"/>
      <c r="K15" s="203"/>
      <c r="L15" s="202"/>
      <c r="M15" s="204"/>
      <c r="N15" s="202"/>
      <c r="O15" s="203"/>
      <c r="P15" s="204" t="s">
        <v>903</v>
      </c>
      <c r="Q15" s="104"/>
    </row>
    <row r="16" spans="1:20" ht="76.5" x14ac:dyDescent="0.2">
      <c r="A16" s="143">
        <v>9</v>
      </c>
      <c r="B16" s="150" t="s">
        <v>629</v>
      </c>
      <c r="C16" s="202" t="s">
        <v>628</v>
      </c>
      <c r="D16" s="203" t="s">
        <v>16</v>
      </c>
      <c r="E16" s="203"/>
      <c r="F16" s="203" t="s">
        <v>238</v>
      </c>
      <c r="G16" s="203">
        <v>1</v>
      </c>
      <c r="H16" s="203"/>
      <c r="I16" s="204" t="s">
        <v>19</v>
      </c>
      <c r="J16" s="205"/>
      <c r="K16" s="203"/>
      <c r="L16" s="202"/>
      <c r="M16" s="204"/>
      <c r="N16" s="202"/>
      <c r="O16" s="203"/>
      <c r="P16" s="204" t="s">
        <v>903</v>
      </c>
      <c r="Q16" s="104"/>
    </row>
  </sheetData>
  <mergeCells count="2">
    <mergeCell ref="B2:R2"/>
    <mergeCell ref="B3:L3"/>
  </mergeCells>
  <conditionalFormatting sqref="O12:O15">
    <cfRule type="cellIs" dxfId="1491" priority="68" stopIfTrue="1" operator="equal">
      <formula>#REF!</formula>
    </cfRule>
  </conditionalFormatting>
  <conditionalFormatting sqref="O15">
    <cfRule type="cellIs" dxfId="1490" priority="56" stopIfTrue="1" operator="equal">
      <formula>#REF!</formula>
    </cfRule>
  </conditionalFormatting>
  <conditionalFormatting sqref="O12:O14">
    <cfRule type="cellIs" dxfId="1489" priority="51" stopIfTrue="1" operator="equal">
      <formula>#REF!</formula>
    </cfRule>
  </conditionalFormatting>
  <conditionalFormatting sqref="O8:P8 O11:P11 P14">
    <cfRule type="cellIs" dxfId="1488" priority="49" stopIfTrue="1" operator="equal">
      <formula>#REF!</formula>
    </cfRule>
  </conditionalFormatting>
  <conditionalFormatting sqref="O8:P8 P11 P14">
    <cfRule type="cellIs" dxfId="1487" priority="47" stopIfTrue="1" operator="equal">
      <formula>#REF!</formula>
    </cfRule>
  </conditionalFormatting>
  <conditionalFormatting sqref="O9:O10">
    <cfRule type="cellIs" dxfId="1486" priority="38" stopIfTrue="1" operator="equal">
      <formula>#REF!</formula>
    </cfRule>
  </conditionalFormatting>
  <conditionalFormatting sqref="O9:O10">
    <cfRule type="cellIs" dxfId="1485" priority="37" stopIfTrue="1" operator="equal">
      <formula>#REF!</formula>
    </cfRule>
  </conditionalFormatting>
  <conditionalFormatting sqref="O16">
    <cfRule type="cellIs" dxfId="1484" priority="12" stopIfTrue="1" operator="equal">
      <formula>#REF!</formula>
    </cfRule>
  </conditionalFormatting>
  <conditionalFormatting sqref="O16">
    <cfRule type="cellIs" dxfId="1483" priority="11" stopIfTrue="1" operator="equal">
      <formula>#REF!</formula>
    </cfRule>
  </conditionalFormatting>
  <conditionalFormatting sqref="P9 P12 P15">
    <cfRule type="cellIs" dxfId="1482" priority="4" stopIfTrue="1" operator="equal">
      <formula>#REF!</formula>
    </cfRule>
  </conditionalFormatting>
  <conditionalFormatting sqref="P9 P12 P15">
    <cfRule type="cellIs" dxfId="1481" priority="3" stopIfTrue="1" operator="equal">
      <formula>#REF!</formula>
    </cfRule>
  </conditionalFormatting>
  <conditionalFormatting sqref="P10 P13 P16">
    <cfRule type="cellIs" dxfId="1480" priority="2" stopIfTrue="1" operator="equal">
      <formula>#REF!</formula>
    </cfRule>
  </conditionalFormatting>
  <conditionalFormatting sqref="P10 P13 P16">
    <cfRule type="cellIs" dxfId="1479" priority="1" stopIfTrue="1" operator="equal">
      <formula>#REF!</formula>
    </cfRule>
  </conditionalFormatting>
  <dataValidations count="5">
    <dataValidation type="list" allowBlank="1" showInputMessage="1" showErrorMessage="1" sqref="H8:H16">
      <formula1>"complexe,normale,simple"</formula1>
    </dataValidation>
    <dataValidation type="list" allowBlank="1" showInputMessage="1" showErrorMessage="1" sqref="G8:G16">
      <formula1>"1,2,3"</formula1>
    </dataValidation>
    <dataValidation type="list" allowBlank="1" showInputMessage="1" showErrorMessage="1" sqref="I8:I16">
      <formula1>Etat</formula1>
    </dataValidation>
    <dataValidation type="list" allowBlank="1" showInputMessage="1" showErrorMessage="1" sqref="M8:M16">
      <formula1>Conformité</formula1>
    </dataValidation>
    <dataValidation type="list" allowBlank="1" showInputMessage="1" showErrorMessage="1" sqref="D8:D16">
      <formula1>Priorité</formula1>
    </dataValidation>
  </dataValidations>
  <printOptions horizontalCentered="1" verticalCentered="1"/>
  <pageMargins left="0" right="0" top="0.35433070866141736" bottom="0.39370078740157483" header="0.31496062992125984" footer="0.15748031496062992"/>
  <pageSetup paperSize="9" scale="62" orientation="landscape" verticalDpi="300"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fonctionnelle4">
    <tabColor indexed="13"/>
    <pageSetUpPr fitToPage="1"/>
  </sheetPr>
  <dimension ref="A1:T33"/>
  <sheetViews>
    <sheetView showGridLines="0" topLeftCell="A16" zoomScaleNormal="100" workbookViewId="0">
      <selection activeCell="B18" sqref="B18"/>
    </sheetView>
  </sheetViews>
  <sheetFormatPr baseColWidth="10" defaultRowHeight="12.75" x14ac:dyDescent="0.2"/>
  <cols>
    <col min="1" max="1" width="4.85546875" style="143" customWidth="1"/>
    <col min="2" max="2" width="41.140625" style="135" customWidth="1"/>
    <col min="3" max="3" width="93.7109375" style="135" customWidth="1"/>
    <col min="4" max="4" width="9.85546875" style="135" bestFit="1" customWidth="1"/>
    <col min="5" max="5" width="10.42578125" style="135" customWidth="1"/>
    <col min="6" max="6" width="11.28515625" style="135" customWidth="1"/>
    <col min="7" max="7" width="9" style="135" customWidth="1"/>
    <col min="8" max="8" width="10.28515625" style="135" hidden="1" customWidth="1"/>
    <col min="9" max="9" width="12.42578125" style="136" customWidth="1"/>
    <col min="10" max="10" width="11.85546875" style="136" hidden="1" customWidth="1"/>
    <col min="11" max="11" width="11.28515625" style="136" hidden="1" customWidth="1"/>
    <col min="12" max="12" width="15.28515625" style="136" hidden="1" customWidth="1"/>
    <col min="13" max="13" width="17.28515625" style="136" hidden="1" customWidth="1"/>
    <col min="14" max="14" width="17.7109375" style="136" hidden="1" customWidth="1"/>
    <col min="15" max="15" width="10.7109375" style="136" hidden="1" customWidth="1"/>
    <col min="16" max="16" width="16.5703125" style="135" customWidth="1"/>
    <col min="17" max="17" width="52.85546875" customWidth="1"/>
    <col min="18" max="18" width="14.28515625" bestFit="1" customWidth="1"/>
    <col min="20" max="20" width="9.42578125" bestFit="1" customWidth="1"/>
    <col min="21" max="21" width="12" bestFit="1" customWidth="1"/>
    <col min="22" max="22" width="7" customWidth="1"/>
    <col min="23" max="23" width="9" bestFit="1" customWidth="1"/>
  </cols>
  <sheetData>
    <row r="1" spans="1:20" x14ac:dyDescent="0.2">
      <c r="B1" s="148" t="s">
        <v>40</v>
      </c>
      <c r="C1" s="109" t="s">
        <v>65</v>
      </c>
      <c r="D1" s="109"/>
      <c r="E1" s="109"/>
      <c r="F1" s="109" t="s">
        <v>65</v>
      </c>
      <c r="G1" s="109"/>
      <c r="H1" s="109"/>
      <c r="I1" s="109"/>
      <c r="J1" s="109"/>
      <c r="K1" s="109"/>
      <c r="L1" s="109"/>
      <c r="M1" s="109"/>
      <c r="N1" s="109"/>
      <c r="O1" s="109"/>
      <c r="P1" s="109"/>
      <c r="Q1" s="109"/>
      <c r="R1" s="109"/>
      <c r="S1" s="109"/>
      <c r="T1" s="109"/>
    </row>
    <row r="2" spans="1:20" ht="12.75" customHeight="1" x14ac:dyDescent="0.2">
      <c r="B2" s="260" t="s">
        <v>103</v>
      </c>
      <c r="C2" s="260"/>
      <c r="D2" s="260"/>
      <c r="E2" s="260"/>
      <c r="F2" s="260"/>
      <c r="G2" s="260"/>
      <c r="H2" s="260"/>
      <c r="I2" s="260"/>
      <c r="J2" s="260"/>
      <c r="K2" s="260"/>
      <c r="L2" s="260"/>
      <c r="M2" s="260"/>
      <c r="N2" s="260"/>
      <c r="O2" s="260"/>
      <c r="P2" s="260"/>
      <c r="Q2" s="260"/>
      <c r="R2" s="260"/>
    </row>
    <row r="3" spans="1:20" x14ac:dyDescent="0.2">
      <c r="B3" s="258" t="s">
        <v>42</v>
      </c>
      <c r="C3" s="258"/>
      <c r="D3" s="258"/>
      <c r="E3" s="258"/>
      <c r="F3" s="258"/>
      <c r="G3" s="258"/>
      <c r="H3" s="258"/>
      <c r="I3" s="258"/>
      <c r="J3" s="258"/>
      <c r="K3" s="258"/>
      <c r="L3" s="258"/>
      <c r="M3" s="249"/>
      <c r="N3" s="249"/>
      <c r="O3" s="249"/>
      <c r="P3" s="147"/>
      <c r="Q3" s="66"/>
      <c r="R3" s="13"/>
    </row>
    <row r="4" spans="1:20" ht="13.5" thickBot="1" x14ac:dyDescent="0.25">
      <c r="B4" s="134"/>
      <c r="C4" s="134"/>
      <c r="D4" s="134"/>
      <c r="E4" s="134"/>
      <c r="F4" s="134"/>
      <c r="G4" s="134"/>
      <c r="H4" s="134"/>
      <c r="I4" s="134"/>
      <c r="J4" s="134"/>
      <c r="K4" s="134"/>
      <c r="L4" s="134"/>
      <c r="M4" s="134"/>
      <c r="N4" s="134"/>
      <c r="O4" s="134"/>
      <c r="P4" s="134"/>
      <c r="Q4" s="36"/>
    </row>
    <row r="5" spans="1:20" s="87" customFormat="1" ht="11.25" x14ac:dyDescent="0.2">
      <c r="A5" s="144"/>
      <c r="B5" s="88" t="s">
        <v>95</v>
      </c>
      <c r="C5" s="89" t="s">
        <v>96</v>
      </c>
      <c r="D5" s="89" t="s">
        <v>97</v>
      </c>
      <c r="E5" s="89"/>
      <c r="F5" s="89"/>
      <c r="G5" s="89"/>
      <c r="H5" s="89"/>
      <c r="I5" s="89"/>
      <c r="J5" s="90"/>
      <c r="K5" s="90"/>
      <c r="L5" s="90"/>
      <c r="M5" s="90"/>
      <c r="N5" s="90"/>
      <c r="O5" s="95"/>
      <c r="P5" s="95"/>
      <c r="Q5" s="96"/>
    </row>
    <row r="6" spans="1:20" s="87" customFormat="1" ht="12" thickBot="1" x14ac:dyDescent="0.25">
      <c r="A6" s="144"/>
      <c r="B6" s="91">
        <f>COUNTA(B8:B882)</f>
        <v>26</v>
      </c>
      <c r="C6" s="92">
        <f>SUBTOTAL(3,B8:B882)</f>
        <v>26</v>
      </c>
      <c r="D6" s="93">
        <f>IF(C6=0,0,$C$6/$B$6)</f>
        <v>1</v>
      </c>
      <c r="E6" s="93"/>
      <c r="F6" s="93"/>
      <c r="G6" s="92"/>
      <c r="H6" s="92"/>
      <c r="I6" s="92"/>
      <c r="J6" s="94"/>
      <c r="K6" s="94"/>
      <c r="L6" s="94"/>
      <c r="M6" s="99"/>
      <c r="N6" s="99"/>
      <c r="P6" s="98"/>
      <c r="Q6" s="97"/>
    </row>
    <row r="7" spans="1:20" ht="42.75" customHeight="1" thickBot="1" x14ac:dyDescent="0.25">
      <c r="B7" s="117" t="s">
        <v>14</v>
      </c>
      <c r="C7" s="12" t="s">
        <v>13</v>
      </c>
      <c r="D7" s="12" t="s">
        <v>129</v>
      </c>
      <c r="E7" s="12" t="s">
        <v>113</v>
      </c>
      <c r="F7" s="12" t="s">
        <v>102</v>
      </c>
      <c r="G7" s="12" t="s">
        <v>131</v>
      </c>
      <c r="H7" s="12" t="s">
        <v>130</v>
      </c>
      <c r="I7" s="12" t="s">
        <v>111</v>
      </c>
      <c r="J7" s="12" t="s">
        <v>15</v>
      </c>
      <c r="K7" s="12" t="s">
        <v>30</v>
      </c>
      <c r="L7" s="12" t="s">
        <v>123</v>
      </c>
      <c r="M7" s="12" t="s">
        <v>75</v>
      </c>
      <c r="N7" s="12" t="s">
        <v>76</v>
      </c>
      <c r="O7" s="12" t="s">
        <v>133</v>
      </c>
      <c r="P7" s="12" t="s">
        <v>67</v>
      </c>
      <c r="Q7" s="37" t="s">
        <v>132</v>
      </c>
    </row>
    <row r="8" spans="1:20" ht="38.25" x14ac:dyDescent="0.2">
      <c r="A8" s="143">
        <v>1</v>
      </c>
      <c r="B8" s="150" t="s">
        <v>1016</v>
      </c>
      <c r="C8" s="189" t="s">
        <v>1037</v>
      </c>
      <c r="D8" s="131" t="s">
        <v>16</v>
      </c>
      <c r="E8" s="131"/>
      <c r="F8" s="131" t="s">
        <v>1015</v>
      </c>
      <c r="G8" s="131">
        <v>1</v>
      </c>
      <c r="H8" s="131"/>
      <c r="I8" s="130" t="s">
        <v>900</v>
      </c>
      <c r="J8" s="253"/>
      <c r="K8" s="131"/>
      <c r="L8" s="189"/>
      <c r="M8" s="130"/>
      <c r="N8" s="189"/>
      <c r="O8" s="131"/>
      <c r="P8" s="130" t="s">
        <v>1034</v>
      </c>
      <c r="Q8" s="125" t="s">
        <v>1069</v>
      </c>
    </row>
    <row r="9" spans="1:20" ht="51" x14ac:dyDescent="0.2">
      <c r="A9" s="143">
        <f>A8+1</f>
        <v>2</v>
      </c>
      <c r="B9" s="150" t="s">
        <v>1017</v>
      </c>
      <c r="C9" s="189" t="s">
        <v>1036</v>
      </c>
      <c r="D9" s="131" t="s">
        <v>16</v>
      </c>
      <c r="E9" s="131"/>
      <c r="F9" s="131" t="s">
        <v>1015</v>
      </c>
      <c r="G9" s="131">
        <v>1</v>
      </c>
      <c r="H9" s="131"/>
      <c r="I9" s="130" t="s">
        <v>900</v>
      </c>
      <c r="J9" s="253"/>
      <c r="K9" s="131"/>
      <c r="L9" s="189"/>
      <c r="M9" s="130"/>
      <c r="N9" s="189"/>
      <c r="O9" s="131"/>
      <c r="P9" s="130" t="s">
        <v>1034</v>
      </c>
      <c r="Q9" s="125" t="s">
        <v>1069</v>
      </c>
    </row>
    <row r="10" spans="1:20" ht="25.5" x14ac:dyDescent="0.2">
      <c r="A10" s="143">
        <f t="shared" ref="A10:A12" si="0">A9+1</f>
        <v>3</v>
      </c>
      <c r="B10" s="150" t="s">
        <v>1018</v>
      </c>
      <c r="C10" s="189" t="s">
        <v>1063</v>
      </c>
      <c r="D10" s="131" t="s">
        <v>16</v>
      </c>
      <c r="E10" s="131"/>
      <c r="F10" s="131" t="s">
        <v>1015</v>
      </c>
      <c r="G10" s="131">
        <v>1</v>
      </c>
      <c r="H10" s="131"/>
      <c r="I10" s="130" t="s">
        <v>900</v>
      </c>
      <c r="J10" s="253"/>
      <c r="K10" s="131"/>
      <c r="L10" s="189"/>
      <c r="M10" s="130"/>
      <c r="N10" s="189"/>
      <c r="O10" s="131"/>
      <c r="P10" s="130" t="s">
        <v>1034</v>
      </c>
      <c r="Q10" s="125" t="s">
        <v>1069</v>
      </c>
    </row>
    <row r="11" spans="1:20" ht="38.25" x14ac:dyDescent="0.2">
      <c r="A11" s="143">
        <f t="shared" si="0"/>
        <v>4</v>
      </c>
      <c r="B11" s="150" t="s">
        <v>1019</v>
      </c>
      <c r="C11" s="189" t="s">
        <v>1061</v>
      </c>
      <c r="D11" s="131" t="s">
        <v>16</v>
      </c>
      <c r="E11" s="131"/>
      <c r="F11" s="131" t="s">
        <v>1015</v>
      </c>
      <c r="G11" s="131">
        <v>1</v>
      </c>
      <c r="H11" s="131"/>
      <c r="I11" s="130" t="s">
        <v>900</v>
      </c>
      <c r="J11" s="253"/>
      <c r="K11" s="131"/>
      <c r="L11" s="189"/>
      <c r="M11" s="130"/>
      <c r="N11" s="189"/>
      <c r="O11" s="131"/>
      <c r="P11" s="130" t="s">
        <v>1034</v>
      </c>
      <c r="Q11" s="125" t="s">
        <v>1069</v>
      </c>
    </row>
    <row r="12" spans="1:20" ht="38.25" x14ac:dyDescent="0.2">
      <c r="A12" s="143">
        <f t="shared" si="0"/>
        <v>5</v>
      </c>
      <c r="B12" s="150" t="s">
        <v>1020</v>
      </c>
      <c r="C12" s="189" t="s">
        <v>1062</v>
      </c>
      <c r="D12" s="131" t="s">
        <v>16</v>
      </c>
      <c r="E12" s="131"/>
      <c r="F12" s="131" t="s">
        <v>1015</v>
      </c>
      <c r="G12" s="131">
        <v>1</v>
      </c>
      <c r="H12" s="131"/>
      <c r="I12" s="130" t="s">
        <v>900</v>
      </c>
      <c r="J12" s="253"/>
      <c r="K12" s="131"/>
      <c r="L12" s="189"/>
      <c r="M12" s="130"/>
      <c r="N12" s="189"/>
      <c r="O12" s="131"/>
      <c r="P12" s="130" t="s">
        <v>1034</v>
      </c>
      <c r="Q12" s="125" t="s">
        <v>1069</v>
      </c>
    </row>
    <row r="13" spans="1:20" ht="25.5" x14ac:dyDescent="0.2">
      <c r="A13" s="143">
        <v>6</v>
      </c>
      <c r="B13" s="150" t="s">
        <v>1021</v>
      </c>
      <c r="C13" s="189" t="s">
        <v>1038</v>
      </c>
      <c r="D13" s="131" t="s">
        <v>16</v>
      </c>
      <c r="E13" s="131"/>
      <c r="F13" s="131" t="s">
        <v>1015</v>
      </c>
      <c r="G13" s="131">
        <v>1</v>
      </c>
      <c r="H13" s="131"/>
      <c r="I13" s="130" t="s">
        <v>900</v>
      </c>
      <c r="J13" s="253"/>
      <c r="K13" s="131"/>
      <c r="L13" s="189"/>
      <c r="M13" s="130"/>
      <c r="N13" s="189"/>
      <c r="O13" s="131"/>
      <c r="P13" s="130" t="s">
        <v>1034</v>
      </c>
      <c r="Q13" s="125" t="s">
        <v>1069</v>
      </c>
    </row>
    <row r="14" spans="1:20" ht="38.25" x14ac:dyDescent="0.2">
      <c r="A14" s="143">
        <v>7</v>
      </c>
      <c r="B14" s="150" t="s">
        <v>1022</v>
      </c>
      <c r="C14" s="189" t="s">
        <v>1039</v>
      </c>
      <c r="D14" s="131" t="s">
        <v>16</v>
      </c>
      <c r="E14" s="131"/>
      <c r="F14" s="131" t="s">
        <v>1015</v>
      </c>
      <c r="G14" s="131">
        <v>1</v>
      </c>
      <c r="H14" s="131"/>
      <c r="I14" s="130" t="s">
        <v>900</v>
      </c>
      <c r="J14" s="253"/>
      <c r="K14" s="131"/>
      <c r="L14" s="189"/>
      <c r="M14" s="130"/>
      <c r="N14" s="189"/>
      <c r="O14" s="131"/>
      <c r="P14" s="130" t="s">
        <v>1034</v>
      </c>
      <c r="Q14" s="125" t="s">
        <v>1069</v>
      </c>
    </row>
    <row r="15" spans="1:20" ht="89.25" x14ac:dyDescent="0.2">
      <c r="A15" s="143">
        <v>8</v>
      </c>
      <c r="B15" s="150" t="s">
        <v>1023</v>
      </c>
      <c r="C15" s="189" t="s">
        <v>1040</v>
      </c>
      <c r="D15" s="131" t="s">
        <v>16</v>
      </c>
      <c r="E15" s="131"/>
      <c r="F15" s="131" t="s">
        <v>1015</v>
      </c>
      <c r="G15" s="131">
        <v>1</v>
      </c>
      <c r="H15" s="131"/>
      <c r="I15" s="130" t="s">
        <v>900</v>
      </c>
      <c r="J15" s="253"/>
      <c r="K15" s="131"/>
      <c r="L15" s="189"/>
      <c r="M15" s="130"/>
      <c r="N15" s="189"/>
      <c r="O15" s="131"/>
      <c r="P15" s="130" t="s">
        <v>1034</v>
      </c>
      <c r="Q15" s="125" t="s">
        <v>1069</v>
      </c>
    </row>
    <row r="16" spans="1:20" ht="25.5" x14ac:dyDescent="0.2">
      <c r="A16" s="143">
        <v>9</v>
      </c>
      <c r="B16" s="150" t="s">
        <v>1024</v>
      </c>
      <c r="C16" s="189" t="s">
        <v>1041</v>
      </c>
      <c r="D16" s="131" t="s">
        <v>16</v>
      </c>
      <c r="E16" s="131"/>
      <c r="F16" s="131" t="s">
        <v>1015</v>
      </c>
      <c r="G16" s="131">
        <v>1</v>
      </c>
      <c r="H16" s="131"/>
      <c r="I16" s="130" t="s">
        <v>900</v>
      </c>
      <c r="J16" s="253"/>
      <c r="K16" s="131"/>
      <c r="L16" s="189"/>
      <c r="M16" s="130"/>
      <c r="N16" s="189"/>
      <c r="O16" s="131"/>
      <c r="P16" s="130" t="s">
        <v>1034</v>
      </c>
      <c r="Q16" s="125" t="s">
        <v>1069</v>
      </c>
    </row>
    <row r="17" spans="1:17" ht="25.5" x14ac:dyDescent="0.2">
      <c r="A17" s="143">
        <v>10</v>
      </c>
      <c r="B17" s="150" t="s">
        <v>1043</v>
      </c>
      <c r="C17" s="189" t="s">
        <v>1067</v>
      </c>
      <c r="D17" s="131" t="s">
        <v>16</v>
      </c>
      <c r="E17" s="131"/>
      <c r="F17" s="131" t="s">
        <v>1015</v>
      </c>
      <c r="G17" s="131">
        <v>1</v>
      </c>
      <c r="H17" s="131"/>
      <c r="I17" s="130" t="s">
        <v>900</v>
      </c>
      <c r="J17" s="253"/>
      <c r="K17" s="131"/>
      <c r="L17" s="189"/>
      <c r="M17" s="130"/>
      <c r="N17" s="189"/>
      <c r="O17" s="131"/>
      <c r="P17" s="130" t="s">
        <v>1034</v>
      </c>
      <c r="Q17" s="125" t="s">
        <v>1069</v>
      </c>
    </row>
    <row r="18" spans="1:17" ht="25.5" x14ac:dyDescent="0.2">
      <c r="A18" s="143">
        <v>11</v>
      </c>
      <c r="B18" s="150" t="s">
        <v>1044</v>
      </c>
      <c r="C18" s="189" t="s">
        <v>1042</v>
      </c>
      <c r="D18" s="131" t="s">
        <v>16</v>
      </c>
      <c r="E18" s="131"/>
      <c r="F18" s="131" t="s">
        <v>1015</v>
      </c>
      <c r="G18" s="131">
        <v>1</v>
      </c>
      <c r="H18" s="131"/>
      <c r="I18" s="130" t="s">
        <v>900</v>
      </c>
      <c r="J18" s="253"/>
      <c r="K18" s="131"/>
      <c r="L18" s="189"/>
      <c r="M18" s="130"/>
      <c r="N18" s="189"/>
      <c r="O18" s="131"/>
      <c r="P18" s="130" t="s">
        <v>1034</v>
      </c>
      <c r="Q18" s="125" t="s">
        <v>1069</v>
      </c>
    </row>
    <row r="19" spans="1:17" ht="25.5" x14ac:dyDescent="0.2">
      <c r="A19" s="143">
        <v>12</v>
      </c>
      <c r="B19" s="150" t="s">
        <v>1045</v>
      </c>
      <c r="C19" s="189" t="s">
        <v>1060</v>
      </c>
      <c r="D19" s="131" t="s">
        <v>16</v>
      </c>
      <c r="E19" s="131"/>
      <c r="F19" s="131" t="s">
        <v>1015</v>
      </c>
      <c r="G19" s="131">
        <v>1</v>
      </c>
      <c r="H19" s="131"/>
      <c r="I19" s="130" t="s">
        <v>900</v>
      </c>
      <c r="J19" s="253"/>
      <c r="K19" s="131"/>
      <c r="L19" s="189"/>
      <c r="M19" s="130"/>
      <c r="N19" s="189"/>
      <c r="O19" s="131"/>
      <c r="P19" s="130" t="s">
        <v>1034</v>
      </c>
      <c r="Q19" s="125" t="s">
        <v>1069</v>
      </c>
    </row>
    <row r="20" spans="1:17" ht="25.5" x14ac:dyDescent="0.2">
      <c r="A20" s="143">
        <v>13</v>
      </c>
      <c r="B20" s="150" t="s">
        <v>1046</v>
      </c>
      <c r="C20" s="189" t="s">
        <v>1064</v>
      </c>
      <c r="D20" s="131" t="s">
        <v>16</v>
      </c>
      <c r="E20" s="131"/>
      <c r="F20" s="131" t="s">
        <v>1015</v>
      </c>
      <c r="G20" s="131">
        <v>1</v>
      </c>
      <c r="H20" s="131"/>
      <c r="I20" s="130" t="s">
        <v>900</v>
      </c>
      <c r="J20" s="253"/>
      <c r="K20" s="131"/>
      <c r="L20" s="189"/>
      <c r="M20" s="130"/>
      <c r="N20" s="189"/>
      <c r="O20" s="131"/>
      <c r="P20" s="130" t="s">
        <v>1034</v>
      </c>
      <c r="Q20" s="125" t="s">
        <v>1069</v>
      </c>
    </row>
    <row r="21" spans="1:17" ht="25.5" x14ac:dyDescent="0.2">
      <c r="A21" s="143">
        <v>14</v>
      </c>
      <c r="B21" s="150" t="s">
        <v>1047</v>
      </c>
      <c r="C21" s="189" t="s">
        <v>1065</v>
      </c>
      <c r="D21" s="131" t="s">
        <v>16</v>
      </c>
      <c r="E21" s="131"/>
      <c r="F21" s="131" t="s">
        <v>1015</v>
      </c>
      <c r="G21" s="131">
        <v>1</v>
      </c>
      <c r="H21" s="131"/>
      <c r="I21" s="130" t="s">
        <v>900</v>
      </c>
      <c r="J21" s="253"/>
      <c r="K21" s="131"/>
      <c r="L21" s="189"/>
      <c r="M21" s="130"/>
      <c r="N21" s="189"/>
      <c r="O21" s="131"/>
      <c r="P21" s="130" t="s">
        <v>1034</v>
      </c>
      <c r="Q21" s="125" t="s">
        <v>1069</v>
      </c>
    </row>
    <row r="22" spans="1:17" ht="51" x14ac:dyDescent="0.2">
      <c r="A22" s="143">
        <v>15</v>
      </c>
      <c r="B22" s="150" t="s">
        <v>1048</v>
      </c>
      <c r="C22" s="189" t="s">
        <v>1066</v>
      </c>
      <c r="D22" s="131" t="s">
        <v>16</v>
      </c>
      <c r="E22" s="131"/>
      <c r="F22" s="131" t="s">
        <v>1015</v>
      </c>
      <c r="G22" s="131">
        <v>1</v>
      </c>
      <c r="H22" s="131"/>
      <c r="I22" s="130" t="s">
        <v>900</v>
      </c>
      <c r="J22" s="253"/>
      <c r="K22" s="131"/>
      <c r="L22" s="189"/>
      <c r="M22" s="130"/>
      <c r="N22" s="189"/>
      <c r="O22" s="131"/>
      <c r="P22" s="130" t="s">
        <v>1034</v>
      </c>
      <c r="Q22" s="125" t="s">
        <v>1069</v>
      </c>
    </row>
    <row r="23" spans="1:17" ht="51" x14ac:dyDescent="0.2">
      <c r="A23" s="143">
        <v>16</v>
      </c>
      <c r="B23" s="150" t="s">
        <v>1049</v>
      </c>
      <c r="C23" s="189" t="s">
        <v>1078</v>
      </c>
      <c r="D23" s="131" t="s">
        <v>16</v>
      </c>
      <c r="E23" s="131"/>
      <c r="F23" s="131" t="s">
        <v>1015</v>
      </c>
      <c r="G23" s="131">
        <v>1</v>
      </c>
      <c r="H23" s="131"/>
      <c r="I23" s="130" t="s">
        <v>900</v>
      </c>
      <c r="J23" s="253"/>
      <c r="K23" s="131"/>
      <c r="L23" s="189"/>
      <c r="M23" s="130"/>
      <c r="N23" s="189"/>
      <c r="O23" s="131"/>
      <c r="P23" s="130" t="s">
        <v>1034</v>
      </c>
      <c r="Q23" s="125" t="s">
        <v>1069</v>
      </c>
    </row>
    <row r="24" spans="1:17" ht="102" x14ac:dyDescent="0.2">
      <c r="A24" s="143">
        <v>17</v>
      </c>
      <c r="B24" s="150" t="s">
        <v>1050</v>
      </c>
      <c r="C24" s="189" t="s">
        <v>1081</v>
      </c>
      <c r="D24" s="131" t="s">
        <v>16</v>
      </c>
      <c r="E24" s="131"/>
      <c r="F24" s="131" t="s">
        <v>1015</v>
      </c>
      <c r="G24" s="131">
        <v>1</v>
      </c>
      <c r="H24" s="131"/>
      <c r="I24" s="130" t="s">
        <v>900</v>
      </c>
      <c r="J24" s="253"/>
      <c r="K24" s="131"/>
      <c r="L24" s="189"/>
      <c r="M24" s="130"/>
      <c r="N24" s="189"/>
      <c r="O24" s="131"/>
      <c r="P24" s="130" t="s">
        <v>1034</v>
      </c>
      <c r="Q24" s="125" t="s">
        <v>1069</v>
      </c>
    </row>
    <row r="25" spans="1:17" ht="25.5" x14ac:dyDescent="0.2">
      <c r="B25" s="150" t="s">
        <v>1051</v>
      </c>
      <c r="C25" s="189"/>
      <c r="D25" s="131" t="s">
        <v>16</v>
      </c>
      <c r="E25" s="131"/>
      <c r="F25" s="131" t="s">
        <v>1015</v>
      </c>
      <c r="G25" s="131">
        <v>1</v>
      </c>
      <c r="H25" s="131"/>
      <c r="I25" s="130" t="s">
        <v>900</v>
      </c>
      <c r="J25" s="253"/>
      <c r="K25" s="131"/>
      <c r="L25" s="189"/>
      <c r="M25" s="130"/>
      <c r="N25" s="189"/>
      <c r="O25" s="131"/>
      <c r="P25" s="130" t="s">
        <v>1034</v>
      </c>
      <c r="Q25" s="104"/>
    </row>
    <row r="26" spans="1:17" ht="25.5" x14ac:dyDescent="0.2">
      <c r="B26" s="150" t="s">
        <v>1052</v>
      </c>
      <c r="C26" s="189"/>
      <c r="D26" s="131" t="s">
        <v>16</v>
      </c>
      <c r="E26" s="131"/>
      <c r="F26" s="131" t="s">
        <v>1015</v>
      </c>
      <c r="G26" s="131">
        <v>1</v>
      </c>
      <c r="H26" s="131"/>
      <c r="I26" s="130" t="s">
        <v>900</v>
      </c>
      <c r="J26" s="253"/>
      <c r="K26" s="131"/>
      <c r="L26" s="189"/>
      <c r="M26" s="130"/>
      <c r="N26" s="189"/>
      <c r="O26" s="131"/>
      <c r="P26" s="130" t="s">
        <v>1034</v>
      </c>
      <c r="Q26" s="104"/>
    </row>
    <row r="27" spans="1:17" ht="25.5" x14ac:dyDescent="0.2">
      <c r="B27" s="150" t="s">
        <v>1053</v>
      </c>
      <c r="C27" s="189"/>
      <c r="D27" s="131" t="s">
        <v>16</v>
      </c>
      <c r="E27" s="131"/>
      <c r="F27" s="131" t="s">
        <v>1015</v>
      </c>
      <c r="G27" s="131">
        <v>1</v>
      </c>
      <c r="H27" s="131"/>
      <c r="I27" s="130" t="s">
        <v>900</v>
      </c>
      <c r="J27" s="253"/>
      <c r="K27" s="131"/>
      <c r="L27" s="189"/>
      <c r="M27" s="130"/>
      <c r="N27" s="189"/>
      <c r="O27" s="131"/>
      <c r="P27" s="130" t="s">
        <v>1034</v>
      </c>
      <c r="Q27" s="104"/>
    </row>
    <row r="28" spans="1:17" ht="25.5" x14ac:dyDescent="0.2">
      <c r="B28" s="150" t="s">
        <v>1054</v>
      </c>
      <c r="C28" s="189"/>
      <c r="D28" s="131" t="s">
        <v>16</v>
      </c>
      <c r="E28" s="131"/>
      <c r="F28" s="131" t="s">
        <v>1015</v>
      </c>
      <c r="G28" s="131">
        <v>1</v>
      </c>
      <c r="H28" s="131"/>
      <c r="I28" s="130" t="s">
        <v>900</v>
      </c>
      <c r="J28" s="253"/>
      <c r="K28" s="131"/>
      <c r="L28" s="189"/>
      <c r="M28" s="130"/>
      <c r="N28" s="189"/>
      <c r="O28" s="131"/>
      <c r="P28" s="130" t="s">
        <v>1034</v>
      </c>
      <c r="Q28" s="104"/>
    </row>
    <row r="29" spans="1:17" ht="25.5" x14ac:dyDescent="0.2">
      <c r="B29" s="150" t="s">
        <v>1055</v>
      </c>
      <c r="C29" s="189"/>
      <c r="D29" s="131" t="s">
        <v>16</v>
      </c>
      <c r="E29" s="131"/>
      <c r="F29" s="131" t="s">
        <v>1015</v>
      </c>
      <c r="G29" s="131">
        <v>1</v>
      </c>
      <c r="H29" s="131"/>
      <c r="I29" s="130" t="s">
        <v>900</v>
      </c>
      <c r="J29" s="253"/>
      <c r="K29" s="131"/>
      <c r="L29" s="189"/>
      <c r="M29" s="130"/>
      <c r="N29" s="189"/>
      <c r="O29" s="131"/>
      <c r="P29" s="130" t="s">
        <v>1034</v>
      </c>
      <c r="Q29" s="104"/>
    </row>
    <row r="30" spans="1:17" ht="25.5" x14ac:dyDescent="0.2">
      <c r="B30" s="150" t="s">
        <v>1056</v>
      </c>
      <c r="C30" s="189"/>
      <c r="D30" s="131" t="s">
        <v>16</v>
      </c>
      <c r="E30" s="131"/>
      <c r="F30" s="131" t="s">
        <v>1015</v>
      </c>
      <c r="G30" s="131">
        <v>1</v>
      </c>
      <c r="H30" s="131"/>
      <c r="I30" s="130" t="s">
        <v>900</v>
      </c>
      <c r="J30" s="253"/>
      <c r="K30" s="131"/>
      <c r="L30" s="189"/>
      <c r="M30" s="130"/>
      <c r="N30" s="189"/>
      <c r="O30" s="131"/>
      <c r="P30" s="130" t="s">
        <v>1034</v>
      </c>
      <c r="Q30" s="104"/>
    </row>
    <row r="31" spans="1:17" ht="25.5" x14ac:dyDescent="0.2">
      <c r="B31" s="150" t="s">
        <v>1057</v>
      </c>
      <c r="C31" s="189"/>
      <c r="D31" s="131" t="s">
        <v>16</v>
      </c>
      <c r="E31" s="131"/>
      <c r="F31" s="131" t="s">
        <v>1015</v>
      </c>
      <c r="G31" s="131">
        <v>1</v>
      </c>
      <c r="H31" s="131"/>
      <c r="I31" s="130" t="s">
        <v>900</v>
      </c>
      <c r="J31" s="253"/>
      <c r="K31" s="131"/>
      <c r="L31" s="189"/>
      <c r="M31" s="130"/>
      <c r="N31" s="189"/>
      <c r="O31" s="131"/>
      <c r="P31" s="130" t="s">
        <v>1034</v>
      </c>
      <c r="Q31" s="104"/>
    </row>
    <row r="32" spans="1:17" ht="25.5" x14ac:dyDescent="0.2">
      <c r="B32" s="150" t="s">
        <v>1058</v>
      </c>
      <c r="C32" s="189"/>
      <c r="D32" s="131" t="s">
        <v>16</v>
      </c>
      <c r="E32" s="131"/>
      <c r="F32" s="131" t="s">
        <v>1015</v>
      </c>
      <c r="G32" s="131">
        <v>1</v>
      </c>
      <c r="H32" s="131"/>
      <c r="I32" s="130" t="s">
        <v>900</v>
      </c>
      <c r="J32" s="253"/>
      <c r="K32" s="131"/>
      <c r="L32" s="189"/>
      <c r="M32" s="130"/>
      <c r="N32" s="189"/>
      <c r="O32" s="131"/>
      <c r="P32" s="130" t="s">
        <v>1034</v>
      </c>
      <c r="Q32" s="104"/>
    </row>
    <row r="33" spans="2:17" ht="25.5" x14ac:dyDescent="0.2">
      <c r="B33" s="150" t="s">
        <v>1059</v>
      </c>
      <c r="C33" s="189"/>
      <c r="D33" s="131" t="s">
        <v>16</v>
      </c>
      <c r="E33" s="131"/>
      <c r="F33" s="131" t="s">
        <v>1015</v>
      </c>
      <c r="G33" s="131">
        <v>1</v>
      </c>
      <c r="H33" s="131"/>
      <c r="I33" s="130" t="s">
        <v>900</v>
      </c>
      <c r="J33" s="253"/>
      <c r="K33" s="131"/>
      <c r="L33" s="189"/>
      <c r="M33" s="130"/>
      <c r="N33" s="189"/>
      <c r="O33" s="131"/>
      <c r="P33" s="130" t="s">
        <v>1034</v>
      </c>
      <c r="Q33" s="104"/>
    </row>
  </sheetData>
  <mergeCells count="2">
    <mergeCell ref="B2:R2"/>
    <mergeCell ref="B3:L3"/>
  </mergeCells>
  <conditionalFormatting sqref="O12:O15">
    <cfRule type="cellIs" dxfId="1478" priority="99" stopIfTrue="1" operator="equal">
      <formula>#REF!</formula>
    </cfRule>
  </conditionalFormatting>
  <conditionalFormatting sqref="O15">
    <cfRule type="cellIs" dxfId="1477" priority="98" stopIfTrue="1" operator="equal">
      <formula>#REF!</formula>
    </cfRule>
  </conditionalFormatting>
  <conditionalFormatting sqref="O12:O14">
    <cfRule type="cellIs" dxfId="1476" priority="97" stopIfTrue="1" operator="equal">
      <formula>#REF!</formula>
    </cfRule>
  </conditionalFormatting>
  <conditionalFormatting sqref="O8 O11">
    <cfRule type="cellIs" dxfId="1475" priority="96" stopIfTrue="1" operator="equal">
      <formula>#REF!</formula>
    </cfRule>
  </conditionalFormatting>
  <conditionalFormatting sqref="O8">
    <cfRule type="cellIs" dxfId="1474" priority="95" stopIfTrue="1" operator="equal">
      <formula>#REF!</formula>
    </cfRule>
  </conditionalFormatting>
  <conditionalFormatting sqref="O9:O10">
    <cfRule type="cellIs" dxfId="1473" priority="94" stopIfTrue="1" operator="equal">
      <formula>#REF!</formula>
    </cfRule>
  </conditionalFormatting>
  <conditionalFormatting sqref="O9:O10">
    <cfRule type="cellIs" dxfId="1472" priority="93" stopIfTrue="1" operator="equal">
      <formula>#REF!</formula>
    </cfRule>
  </conditionalFormatting>
  <conditionalFormatting sqref="O16">
    <cfRule type="cellIs" dxfId="1471" priority="92" stopIfTrue="1" operator="equal">
      <formula>#REF!</formula>
    </cfRule>
  </conditionalFormatting>
  <conditionalFormatting sqref="O16">
    <cfRule type="cellIs" dxfId="1470" priority="91" stopIfTrue="1" operator="equal">
      <formula>#REF!</formula>
    </cfRule>
  </conditionalFormatting>
  <conditionalFormatting sqref="P8">
    <cfRule type="cellIs" dxfId="1469" priority="86" stopIfTrue="1" operator="equal">
      <formula>#REF!</formula>
    </cfRule>
  </conditionalFormatting>
  <conditionalFormatting sqref="P8">
    <cfRule type="cellIs" dxfId="1468" priority="85" stopIfTrue="1" operator="equal">
      <formula>#REF!</formula>
    </cfRule>
  </conditionalFormatting>
  <conditionalFormatting sqref="P9">
    <cfRule type="cellIs" dxfId="1467" priority="84" stopIfTrue="1" operator="equal">
      <formula>#REF!</formula>
    </cfRule>
  </conditionalFormatting>
  <conditionalFormatting sqref="P9">
    <cfRule type="cellIs" dxfId="1466" priority="83" stopIfTrue="1" operator="equal">
      <formula>#REF!</formula>
    </cfRule>
  </conditionalFormatting>
  <conditionalFormatting sqref="P10">
    <cfRule type="cellIs" dxfId="1465" priority="82" stopIfTrue="1" operator="equal">
      <formula>#REF!</formula>
    </cfRule>
  </conditionalFormatting>
  <conditionalFormatting sqref="P10">
    <cfRule type="cellIs" dxfId="1464" priority="81" stopIfTrue="1" operator="equal">
      <formula>#REF!</formula>
    </cfRule>
  </conditionalFormatting>
  <conditionalFormatting sqref="P11">
    <cfRule type="cellIs" dxfId="1463" priority="80" stopIfTrue="1" operator="equal">
      <formula>#REF!</formula>
    </cfRule>
  </conditionalFormatting>
  <conditionalFormatting sqref="P11">
    <cfRule type="cellIs" dxfId="1462" priority="79" stopIfTrue="1" operator="equal">
      <formula>#REF!</formula>
    </cfRule>
  </conditionalFormatting>
  <conditionalFormatting sqref="P12">
    <cfRule type="cellIs" dxfId="1461" priority="78" stopIfTrue="1" operator="equal">
      <formula>#REF!</formula>
    </cfRule>
  </conditionalFormatting>
  <conditionalFormatting sqref="P12">
    <cfRule type="cellIs" dxfId="1460" priority="77" stopIfTrue="1" operator="equal">
      <formula>#REF!</formula>
    </cfRule>
  </conditionalFormatting>
  <conditionalFormatting sqref="P13">
    <cfRule type="cellIs" dxfId="1459" priority="76" stopIfTrue="1" operator="equal">
      <formula>#REF!</formula>
    </cfRule>
  </conditionalFormatting>
  <conditionalFormatting sqref="P13">
    <cfRule type="cellIs" dxfId="1458" priority="75" stopIfTrue="1" operator="equal">
      <formula>#REF!</formula>
    </cfRule>
  </conditionalFormatting>
  <conditionalFormatting sqref="P14">
    <cfRule type="cellIs" dxfId="1457" priority="74" stopIfTrue="1" operator="equal">
      <formula>#REF!</formula>
    </cfRule>
  </conditionalFormatting>
  <conditionalFormatting sqref="P14">
    <cfRule type="cellIs" dxfId="1456" priority="73" stopIfTrue="1" operator="equal">
      <formula>#REF!</formula>
    </cfRule>
  </conditionalFormatting>
  <conditionalFormatting sqref="P15">
    <cfRule type="cellIs" dxfId="1455" priority="72" stopIfTrue="1" operator="equal">
      <formula>#REF!</formula>
    </cfRule>
  </conditionalFormatting>
  <conditionalFormatting sqref="P15">
    <cfRule type="cellIs" dxfId="1454" priority="71" stopIfTrue="1" operator="equal">
      <formula>#REF!</formula>
    </cfRule>
  </conditionalFormatting>
  <conditionalFormatting sqref="P16">
    <cfRule type="cellIs" dxfId="1453" priority="70" stopIfTrue="1" operator="equal">
      <formula>#REF!</formula>
    </cfRule>
  </conditionalFormatting>
  <conditionalFormatting sqref="P16">
    <cfRule type="cellIs" dxfId="1452" priority="69" stopIfTrue="1" operator="equal">
      <formula>#REF!</formula>
    </cfRule>
  </conditionalFormatting>
  <conditionalFormatting sqref="O17">
    <cfRule type="cellIs" dxfId="1451" priority="68" stopIfTrue="1" operator="equal">
      <formula>#REF!</formula>
    </cfRule>
  </conditionalFormatting>
  <conditionalFormatting sqref="O17">
    <cfRule type="cellIs" dxfId="1450" priority="67" stopIfTrue="1" operator="equal">
      <formula>#REF!</formula>
    </cfRule>
  </conditionalFormatting>
  <conditionalFormatting sqref="P17">
    <cfRule type="cellIs" dxfId="1449" priority="66" stopIfTrue="1" operator="equal">
      <formula>#REF!</formula>
    </cfRule>
  </conditionalFormatting>
  <conditionalFormatting sqref="P17">
    <cfRule type="cellIs" dxfId="1448" priority="65" stopIfTrue="1" operator="equal">
      <formula>#REF!</formula>
    </cfRule>
  </conditionalFormatting>
  <conditionalFormatting sqref="O18">
    <cfRule type="cellIs" dxfId="1447" priority="64" stopIfTrue="1" operator="equal">
      <formula>#REF!</formula>
    </cfRule>
  </conditionalFormatting>
  <conditionalFormatting sqref="O18">
    <cfRule type="cellIs" dxfId="1446" priority="63" stopIfTrue="1" operator="equal">
      <formula>#REF!</formula>
    </cfRule>
  </conditionalFormatting>
  <conditionalFormatting sqref="P18">
    <cfRule type="cellIs" dxfId="1445" priority="62" stopIfTrue="1" operator="equal">
      <formula>#REF!</formula>
    </cfRule>
  </conditionalFormatting>
  <conditionalFormatting sqref="P18">
    <cfRule type="cellIs" dxfId="1444" priority="61" stopIfTrue="1" operator="equal">
      <formula>#REF!</formula>
    </cfRule>
  </conditionalFormatting>
  <conditionalFormatting sqref="O19">
    <cfRule type="cellIs" dxfId="1443" priority="60" stopIfTrue="1" operator="equal">
      <formula>#REF!</formula>
    </cfRule>
  </conditionalFormatting>
  <conditionalFormatting sqref="O19">
    <cfRule type="cellIs" dxfId="1442" priority="59" stopIfTrue="1" operator="equal">
      <formula>#REF!</formula>
    </cfRule>
  </conditionalFormatting>
  <conditionalFormatting sqref="P19">
    <cfRule type="cellIs" dxfId="1441" priority="58" stopIfTrue="1" operator="equal">
      <formula>#REF!</formula>
    </cfRule>
  </conditionalFormatting>
  <conditionalFormatting sqref="P19">
    <cfRule type="cellIs" dxfId="1440" priority="57" stopIfTrue="1" operator="equal">
      <formula>#REF!</formula>
    </cfRule>
  </conditionalFormatting>
  <conditionalFormatting sqref="O20">
    <cfRule type="cellIs" dxfId="1439" priority="56" stopIfTrue="1" operator="equal">
      <formula>#REF!</formula>
    </cfRule>
  </conditionalFormatting>
  <conditionalFormatting sqref="O20">
    <cfRule type="cellIs" dxfId="1438" priority="55" stopIfTrue="1" operator="equal">
      <formula>#REF!</formula>
    </cfRule>
  </conditionalFormatting>
  <conditionalFormatting sqref="P20">
    <cfRule type="cellIs" dxfId="1437" priority="54" stopIfTrue="1" operator="equal">
      <formula>#REF!</formula>
    </cfRule>
  </conditionalFormatting>
  <conditionalFormatting sqref="P20">
    <cfRule type="cellIs" dxfId="1436" priority="53" stopIfTrue="1" operator="equal">
      <formula>#REF!</formula>
    </cfRule>
  </conditionalFormatting>
  <conditionalFormatting sqref="O21">
    <cfRule type="cellIs" dxfId="1435" priority="52" stopIfTrue="1" operator="equal">
      <formula>#REF!</formula>
    </cfRule>
  </conditionalFormatting>
  <conditionalFormatting sqref="O21">
    <cfRule type="cellIs" dxfId="1434" priority="51" stopIfTrue="1" operator="equal">
      <formula>#REF!</formula>
    </cfRule>
  </conditionalFormatting>
  <conditionalFormatting sqref="P21">
    <cfRule type="cellIs" dxfId="1433" priority="50" stopIfTrue="1" operator="equal">
      <formula>#REF!</formula>
    </cfRule>
  </conditionalFormatting>
  <conditionalFormatting sqref="P21">
    <cfRule type="cellIs" dxfId="1432" priority="49" stopIfTrue="1" operator="equal">
      <formula>#REF!</formula>
    </cfRule>
  </conditionalFormatting>
  <conditionalFormatting sqref="O22">
    <cfRule type="cellIs" dxfId="1431" priority="48" stopIfTrue="1" operator="equal">
      <formula>#REF!</formula>
    </cfRule>
  </conditionalFormatting>
  <conditionalFormatting sqref="O22">
    <cfRule type="cellIs" dxfId="1430" priority="47" stopIfTrue="1" operator="equal">
      <formula>#REF!</formula>
    </cfRule>
  </conditionalFormatting>
  <conditionalFormatting sqref="P22">
    <cfRule type="cellIs" dxfId="1429" priority="46" stopIfTrue="1" operator="equal">
      <formula>#REF!</formula>
    </cfRule>
  </conditionalFormatting>
  <conditionalFormatting sqref="P22">
    <cfRule type="cellIs" dxfId="1428" priority="45" stopIfTrue="1" operator="equal">
      <formula>#REF!</formula>
    </cfRule>
  </conditionalFormatting>
  <conditionalFormatting sqref="O23">
    <cfRule type="cellIs" dxfId="1427" priority="44" stopIfTrue="1" operator="equal">
      <formula>#REF!</formula>
    </cfRule>
  </conditionalFormatting>
  <conditionalFormatting sqref="O23">
    <cfRule type="cellIs" dxfId="1426" priority="43" stopIfTrue="1" operator="equal">
      <formula>#REF!</formula>
    </cfRule>
  </conditionalFormatting>
  <conditionalFormatting sqref="P23">
    <cfRule type="cellIs" dxfId="1425" priority="42" stopIfTrue="1" operator="equal">
      <formula>#REF!</formula>
    </cfRule>
  </conditionalFormatting>
  <conditionalFormatting sqref="P23">
    <cfRule type="cellIs" dxfId="1424" priority="41" stopIfTrue="1" operator="equal">
      <formula>#REF!</formula>
    </cfRule>
  </conditionalFormatting>
  <conditionalFormatting sqref="O24">
    <cfRule type="cellIs" dxfId="1423" priority="40" stopIfTrue="1" operator="equal">
      <formula>#REF!</formula>
    </cfRule>
  </conditionalFormatting>
  <conditionalFormatting sqref="O24">
    <cfRule type="cellIs" dxfId="1422" priority="39" stopIfTrue="1" operator="equal">
      <formula>#REF!</formula>
    </cfRule>
  </conditionalFormatting>
  <conditionalFormatting sqref="P24">
    <cfRule type="cellIs" dxfId="1421" priority="38" stopIfTrue="1" operator="equal">
      <formula>#REF!</formula>
    </cfRule>
  </conditionalFormatting>
  <conditionalFormatting sqref="P24">
    <cfRule type="cellIs" dxfId="1420" priority="37" stopIfTrue="1" operator="equal">
      <formula>#REF!</formula>
    </cfRule>
  </conditionalFormatting>
  <conditionalFormatting sqref="O25">
    <cfRule type="cellIs" dxfId="1419" priority="36" stopIfTrue="1" operator="equal">
      <formula>#REF!</formula>
    </cfRule>
  </conditionalFormatting>
  <conditionalFormatting sqref="O25">
    <cfRule type="cellIs" dxfId="1418" priority="35" stopIfTrue="1" operator="equal">
      <formula>#REF!</formula>
    </cfRule>
  </conditionalFormatting>
  <conditionalFormatting sqref="P25">
    <cfRule type="cellIs" dxfId="1417" priority="34" stopIfTrue="1" operator="equal">
      <formula>#REF!</formula>
    </cfRule>
  </conditionalFormatting>
  <conditionalFormatting sqref="P25">
    <cfRule type="cellIs" dxfId="1416" priority="33" stopIfTrue="1" operator="equal">
      <formula>#REF!</formula>
    </cfRule>
  </conditionalFormatting>
  <conditionalFormatting sqref="O26">
    <cfRule type="cellIs" dxfId="1415" priority="32" stopIfTrue="1" operator="equal">
      <formula>#REF!</formula>
    </cfRule>
  </conditionalFormatting>
  <conditionalFormatting sqref="O26">
    <cfRule type="cellIs" dxfId="1414" priority="31" stopIfTrue="1" operator="equal">
      <formula>#REF!</formula>
    </cfRule>
  </conditionalFormatting>
  <conditionalFormatting sqref="P26">
    <cfRule type="cellIs" dxfId="1413" priority="30" stopIfTrue="1" operator="equal">
      <formula>#REF!</formula>
    </cfRule>
  </conditionalFormatting>
  <conditionalFormatting sqref="P26">
    <cfRule type="cellIs" dxfId="1412" priority="29" stopIfTrue="1" operator="equal">
      <formula>#REF!</formula>
    </cfRule>
  </conditionalFormatting>
  <conditionalFormatting sqref="O27">
    <cfRule type="cellIs" dxfId="1411" priority="28" stopIfTrue="1" operator="equal">
      <formula>#REF!</formula>
    </cfRule>
  </conditionalFormatting>
  <conditionalFormatting sqref="O27">
    <cfRule type="cellIs" dxfId="1410" priority="27" stopIfTrue="1" operator="equal">
      <formula>#REF!</formula>
    </cfRule>
  </conditionalFormatting>
  <conditionalFormatting sqref="P27">
    <cfRule type="cellIs" dxfId="1409" priority="26" stopIfTrue="1" operator="equal">
      <formula>#REF!</formula>
    </cfRule>
  </conditionalFormatting>
  <conditionalFormatting sqref="P27">
    <cfRule type="cellIs" dxfId="1408" priority="25" stopIfTrue="1" operator="equal">
      <formula>#REF!</formula>
    </cfRule>
  </conditionalFormatting>
  <conditionalFormatting sqref="O28">
    <cfRule type="cellIs" dxfId="1407" priority="24" stopIfTrue="1" operator="equal">
      <formula>#REF!</formula>
    </cfRule>
  </conditionalFormatting>
  <conditionalFormatting sqref="O28">
    <cfRule type="cellIs" dxfId="1406" priority="23" stopIfTrue="1" operator="equal">
      <formula>#REF!</formula>
    </cfRule>
  </conditionalFormatting>
  <conditionalFormatting sqref="P28">
    <cfRule type="cellIs" dxfId="1405" priority="22" stopIfTrue="1" operator="equal">
      <formula>#REF!</formula>
    </cfRule>
  </conditionalFormatting>
  <conditionalFormatting sqref="P28">
    <cfRule type="cellIs" dxfId="1404" priority="21" stopIfTrue="1" operator="equal">
      <formula>#REF!</formula>
    </cfRule>
  </conditionalFormatting>
  <conditionalFormatting sqref="O29">
    <cfRule type="cellIs" dxfId="1403" priority="20" stopIfTrue="1" operator="equal">
      <formula>#REF!</formula>
    </cfRule>
  </conditionalFormatting>
  <conditionalFormatting sqref="O29">
    <cfRule type="cellIs" dxfId="1402" priority="19" stopIfTrue="1" operator="equal">
      <formula>#REF!</formula>
    </cfRule>
  </conditionalFormatting>
  <conditionalFormatting sqref="P29">
    <cfRule type="cellIs" dxfId="1401" priority="18" stopIfTrue="1" operator="equal">
      <formula>#REF!</formula>
    </cfRule>
  </conditionalFormatting>
  <conditionalFormatting sqref="P29">
    <cfRule type="cellIs" dxfId="1400" priority="17" stopIfTrue="1" operator="equal">
      <formula>#REF!</formula>
    </cfRule>
  </conditionalFormatting>
  <conditionalFormatting sqref="O30">
    <cfRule type="cellIs" dxfId="1399" priority="16" stopIfTrue="1" operator="equal">
      <formula>#REF!</formula>
    </cfRule>
  </conditionalFormatting>
  <conditionalFormatting sqref="O30">
    <cfRule type="cellIs" dxfId="1398" priority="15" stopIfTrue="1" operator="equal">
      <formula>#REF!</formula>
    </cfRule>
  </conditionalFormatting>
  <conditionalFormatting sqref="P30">
    <cfRule type="cellIs" dxfId="1397" priority="14" stopIfTrue="1" operator="equal">
      <formula>#REF!</formula>
    </cfRule>
  </conditionalFormatting>
  <conditionalFormatting sqref="P30">
    <cfRule type="cellIs" dxfId="1396" priority="13" stopIfTrue="1" operator="equal">
      <formula>#REF!</formula>
    </cfRule>
  </conditionalFormatting>
  <conditionalFormatting sqref="O31">
    <cfRule type="cellIs" dxfId="1395" priority="12" stopIfTrue="1" operator="equal">
      <formula>#REF!</formula>
    </cfRule>
  </conditionalFormatting>
  <conditionalFormatting sqref="O31">
    <cfRule type="cellIs" dxfId="1394" priority="11" stopIfTrue="1" operator="equal">
      <formula>#REF!</formula>
    </cfRule>
  </conditionalFormatting>
  <conditionalFormatting sqref="P31">
    <cfRule type="cellIs" dxfId="1393" priority="10" stopIfTrue="1" operator="equal">
      <formula>#REF!</formula>
    </cfRule>
  </conditionalFormatting>
  <conditionalFormatting sqref="P31">
    <cfRule type="cellIs" dxfId="1392" priority="9" stopIfTrue="1" operator="equal">
      <formula>#REF!</formula>
    </cfRule>
  </conditionalFormatting>
  <conditionalFormatting sqref="O32">
    <cfRule type="cellIs" dxfId="1391" priority="8" stopIfTrue="1" operator="equal">
      <formula>#REF!</formula>
    </cfRule>
  </conditionalFormatting>
  <conditionalFormatting sqref="O32">
    <cfRule type="cellIs" dxfId="1390" priority="7" stopIfTrue="1" operator="equal">
      <formula>#REF!</formula>
    </cfRule>
  </conditionalFormatting>
  <conditionalFormatting sqref="P32">
    <cfRule type="cellIs" dxfId="1389" priority="6" stopIfTrue="1" operator="equal">
      <formula>#REF!</formula>
    </cfRule>
  </conditionalFormatting>
  <conditionalFormatting sqref="P32">
    <cfRule type="cellIs" dxfId="1388" priority="5" stopIfTrue="1" operator="equal">
      <formula>#REF!</formula>
    </cfRule>
  </conditionalFormatting>
  <conditionalFormatting sqref="O33">
    <cfRule type="cellIs" dxfId="1387" priority="4" stopIfTrue="1" operator="equal">
      <formula>#REF!</formula>
    </cfRule>
  </conditionalFormatting>
  <conditionalFormatting sqref="O33">
    <cfRule type="cellIs" dxfId="1386" priority="3" stopIfTrue="1" operator="equal">
      <formula>#REF!</formula>
    </cfRule>
  </conditionalFormatting>
  <conditionalFormatting sqref="P33">
    <cfRule type="cellIs" dxfId="1385" priority="2" stopIfTrue="1" operator="equal">
      <formula>#REF!</formula>
    </cfRule>
  </conditionalFormatting>
  <conditionalFormatting sqref="P33">
    <cfRule type="cellIs" dxfId="1384" priority="1" stopIfTrue="1" operator="equal">
      <formula>#REF!</formula>
    </cfRule>
  </conditionalFormatting>
  <dataValidations count="5">
    <dataValidation type="list" allowBlank="1" showInputMessage="1" showErrorMessage="1" sqref="D8:D33">
      <formula1>Priorité</formula1>
    </dataValidation>
    <dataValidation type="list" allowBlank="1" showInputMessage="1" showErrorMessage="1" sqref="M8:M33">
      <formula1>Conformité</formula1>
    </dataValidation>
    <dataValidation type="list" allowBlank="1" showInputMessage="1" showErrorMessage="1" sqref="I8:I33">
      <formula1>Etat</formula1>
    </dataValidation>
    <dataValidation type="list" allowBlank="1" showInputMessage="1" showErrorMessage="1" sqref="G8:G33">
      <formula1>"1,2,3"</formula1>
    </dataValidation>
    <dataValidation type="list" allowBlank="1" showInputMessage="1" showErrorMessage="1" sqref="H8:H33">
      <formula1>"complexe,normale,simple"</formula1>
    </dataValidation>
  </dataValidations>
  <printOptions horizontalCentered="1" verticalCentered="1"/>
  <pageMargins left="0" right="0" top="0.35433070866141736" bottom="0.39370078740157483" header="0.31496062992125984" footer="0.15748031496062992"/>
  <pageSetup paperSize="9" scale="62" orientation="landscape" verticalDpi="300"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technique1">
    <tabColor theme="3"/>
    <pageSetUpPr fitToPage="1"/>
  </sheetPr>
  <dimension ref="A1:S140"/>
  <sheetViews>
    <sheetView showGridLines="0" topLeftCell="B79" zoomScaleNormal="100" workbookViewId="0">
      <selection activeCell="C81" sqref="C81"/>
    </sheetView>
  </sheetViews>
  <sheetFormatPr baseColWidth="10" defaultRowHeight="12.75" x14ac:dyDescent="0.2"/>
  <cols>
    <col min="1" max="1" width="4.85546875" style="143" customWidth="1"/>
    <col min="2" max="2" width="40.42578125" style="135" customWidth="1"/>
    <col min="3" max="3" width="97.7109375" style="135" customWidth="1"/>
    <col min="4" max="6" width="10.7109375" style="135" customWidth="1"/>
    <col min="7" max="7" width="9.85546875" style="135" bestFit="1" customWidth="1"/>
    <col min="8" max="8" width="10.28515625" style="135" hidden="1" customWidth="1"/>
    <col min="9" max="9" width="10.7109375" style="136" customWidth="1"/>
    <col min="10" max="10" width="13.5703125" style="136" hidden="1" customWidth="1"/>
    <col min="11" max="11" width="12.140625" style="136" hidden="1" customWidth="1"/>
    <col min="12" max="12" width="15.28515625" style="136" hidden="1" customWidth="1"/>
    <col min="13" max="13" width="12.85546875" style="136" hidden="1" customWidth="1"/>
    <col min="14" max="14" width="15.28515625" style="136" hidden="1" customWidth="1"/>
    <col min="15" max="15" width="10.7109375" style="136" hidden="1" customWidth="1"/>
    <col min="16" max="16" width="18.7109375" style="135" customWidth="1"/>
    <col min="17" max="17" width="48.140625" style="135" customWidth="1"/>
    <col min="19" max="19" width="9.42578125" bestFit="1" customWidth="1"/>
    <col min="20" max="20" width="12" bestFit="1" customWidth="1"/>
    <col min="21" max="21" width="7" customWidth="1"/>
    <col min="22" max="22" width="9" bestFit="1" customWidth="1"/>
  </cols>
  <sheetData>
    <row r="1" spans="1:19" x14ac:dyDescent="0.2">
      <c r="B1" s="186" t="s">
        <v>277</v>
      </c>
      <c r="C1" s="261" t="s">
        <v>65</v>
      </c>
      <c r="D1" s="261"/>
      <c r="E1" s="261"/>
      <c r="F1" s="261"/>
      <c r="G1" s="261"/>
      <c r="H1" s="261"/>
      <c r="I1" s="261"/>
      <c r="J1" s="261"/>
      <c r="K1" s="261"/>
      <c r="L1" s="261"/>
      <c r="M1" s="261"/>
      <c r="N1" s="261"/>
      <c r="O1" s="261"/>
      <c r="P1" s="261"/>
      <c r="Q1" s="261"/>
      <c r="R1" s="261"/>
      <c r="S1" s="261"/>
    </row>
    <row r="2" spans="1:19" ht="12.75" customHeight="1" x14ac:dyDescent="0.2">
      <c r="B2" s="262" t="s">
        <v>41</v>
      </c>
      <c r="C2" s="262"/>
      <c r="D2" s="262"/>
      <c r="E2" s="262"/>
      <c r="F2" s="262"/>
      <c r="G2" s="262"/>
      <c r="H2" s="132"/>
      <c r="I2" s="132"/>
      <c r="J2" s="132"/>
      <c r="K2" s="132"/>
      <c r="L2" s="132"/>
      <c r="M2" s="132"/>
      <c r="N2" s="132"/>
      <c r="O2" s="132"/>
      <c r="P2" s="132"/>
      <c r="Q2" s="132"/>
    </row>
    <row r="3" spans="1:19" x14ac:dyDescent="0.2">
      <c r="B3" s="258" t="s">
        <v>42</v>
      </c>
      <c r="C3" s="258"/>
      <c r="D3" s="258"/>
      <c r="E3" s="258"/>
      <c r="F3" s="258"/>
      <c r="G3" s="258"/>
      <c r="H3" s="258"/>
      <c r="I3" s="258"/>
      <c r="J3" s="258"/>
      <c r="K3" s="258"/>
      <c r="L3" s="258"/>
      <c r="M3" s="149"/>
      <c r="N3" s="149"/>
      <c r="O3" s="149"/>
      <c r="P3" s="133"/>
      <c r="Q3" s="133"/>
    </row>
    <row r="4" spans="1:19" ht="13.5" thickBot="1" x14ac:dyDescent="0.25">
      <c r="B4" s="134"/>
      <c r="C4" s="134"/>
      <c r="D4" s="134"/>
      <c r="E4" s="134"/>
      <c r="F4" s="134"/>
      <c r="G4" s="134"/>
      <c r="H4" s="134"/>
      <c r="I4" s="134"/>
      <c r="J4" s="134"/>
      <c r="K4" s="134"/>
      <c r="L4" s="134"/>
      <c r="M4" s="134"/>
      <c r="N4" s="134"/>
      <c r="O4" s="134"/>
      <c r="P4" s="134"/>
      <c r="Q4" s="134"/>
    </row>
    <row r="5" spans="1:19" s="87" customFormat="1" ht="11.25" x14ac:dyDescent="0.2">
      <c r="A5" s="144"/>
      <c r="B5" s="88" t="s">
        <v>95</v>
      </c>
      <c r="C5" s="89" t="s">
        <v>96</v>
      </c>
      <c r="D5" s="89" t="s">
        <v>97</v>
      </c>
      <c r="E5" s="89"/>
      <c r="F5" s="89"/>
      <c r="G5" s="89"/>
      <c r="H5" s="89"/>
      <c r="I5" s="89"/>
      <c r="J5" s="90"/>
      <c r="K5" s="90"/>
      <c r="L5" s="90"/>
      <c r="M5" s="90"/>
      <c r="N5" s="90"/>
      <c r="O5" s="95"/>
      <c r="P5" s="95"/>
      <c r="Q5" s="96"/>
    </row>
    <row r="6" spans="1:19" s="87" customFormat="1" ht="12" thickBot="1" x14ac:dyDescent="0.25">
      <c r="A6" s="144"/>
      <c r="B6" s="91">
        <f>COUNTA(B8:B1060)</f>
        <v>132</v>
      </c>
      <c r="C6" s="92">
        <f>SUBTOTAL(3,B8:B1060)</f>
        <v>132</v>
      </c>
      <c r="D6" s="93">
        <f>IF(C6=0,0,C6/B6)</f>
        <v>1</v>
      </c>
      <c r="E6" s="93"/>
      <c r="F6" s="93"/>
      <c r="G6" s="92"/>
      <c r="H6" s="92"/>
      <c r="I6" s="92"/>
      <c r="J6" s="94"/>
      <c r="K6" s="94"/>
      <c r="L6" s="94"/>
      <c r="M6" s="99"/>
      <c r="N6" s="99"/>
      <c r="P6" s="98"/>
      <c r="Q6" s="97"/>
    </row>
    <row r="7" spans="1:19" ht="42.75" customHeight="1" thickBot="1" x14ac:dyDescent="0.25">
      <c r="B7" s="11" t="s">
        <v>14</v>
      </c>
      <c r="C7" s="12" t="s">
        <v>13</v>
      </c>
      <c r="D7" s="12" t="s">
        <v>129</v>
      </c>
      <c r="E7" s="12" t="s">
        <v>113</v>
      </c>
      <c r="F7" s="12" t="s">
        <v>102</v>
      </c>
      <c r="G7" s="12" t="s">
        <v>131</v>
      </c>
      <c r="H7" s="12" t="s">
        <v>130</v>
      </c>
      <c r="I7" s="12" t="s">
        <v>111</v>
      </c>
      <c r="J7" s="12" t="s">
        <v>15</v>
      </c>
      <c r="K7" s="12" t="s">
        <v>30</v>
      </c>
      <c r="L7" s="12" t="s">
        <v>123</v>
      </c>
      <c r="M7" s="12" t="s">
        <v>75</v>
      </c>
      <c r="N7" s="12" t="s">
        <v>76</v>
      </c>
      <c r="O7" s="12" t="s">
        <v>133</v>
      </c>
      <c r="P7" s="12" t="s">
        <v>67</v>
      </c>
      <c r="Q7" s="37" t="s">
        <v>132</v>
      </c>
    </row>
    <row r="8" spans="1:19" ht="25.5" x14ac:dyDescent="0.2">
      <c r="A8" s="143">
        <v>1</v>
      </c>
      <c r="B8" s="187" t="s">
        <v>236</v>
      </c>
      <c r="C8" s="151" t="s">
        <v>237</v>
      </c>
      <c r="D8" s="128" t="s">
        <v>16</v>
      </c>
      <c r="E8" s="128"/>
      <c r="F8" s="128" t="s">
        <v>238</v>
      </c>
      <c r="G8" s="128">
        <v>1</v>
      </c>
      <c r="H8" s="128"/>
      <c r="I8" s="129" t="s">
        <v>19</v>
      </c>
      <c r="J8" s="152"/>
      <c r="K8" s="152"/>
      <c r="L8" s="151"/>
      <c r="M8" s="188"/>
      <c r="N8" s="177"/>
      <c r="O8" s="131"/>
      <c r="P8" s="130" t="s">
        <v>239</v>
      </c>
      <c r="Q8" s="179"/>
    </row>
    <row r="9" spans="1:19" ht="25.5" x14ac:dyDescent="0.2">
      <c r="A9" s="143">
        <f>A8+1</f>
        <v>2</v>
      </c>
      <c r="B9" s="187" t="s">
        <v>240</v>
      </c>
      <c r="C9" s="241" t="s">
        <v>241</v>
      </c>
      <c r="D9" s="242" t="s">
        <v>16</v>
      </c>
      <c r="E9" s="242"/>
      <c r="F9" s="242" t="s">
        <v>914</v>
      </c>
      <c r="G9" s="242">
        <v>1</v>
      </c>
      <c r="H9" s="128"/>
      <c r="I9" s="243" t="s">
        <v>20</v>
      </c>
      <c r="J9" s="152"/>
      <c r="K9" s="152"/>
      <c r="L9" s="151"/>
      <c r="M9" s="188"/>
      <c r="N9" s="177"/>
      <c r="O9" s="131"/>
      <c r="P9" s="245" t="s">
        <v>239</v>
      </c>
      <c r="Q9" s="215" t="s">
        <v>971</v>
      </c>
    </row>
    <row r="10" spans="1:19" ht="25.5" x14ac:dyDescent="0.2">
      <c r="A10" s="143">
        <f t="shared" ref="A10:A118" si="0">A9+1</f>
        <v>3</v>
      </c>
      <c r="B10" s="187" t="s">
        <v>242</v>
      </c>
      <c r="C10" s="151" t="s">
        <v>243</v>
      </c>
      <c r="D10" s="128" t="s">
        <v>16</v>
      </c>
      <c r="E10" s="128"/>
      <c r="F10" s="128" t="s">
        <v>238</v>
      </c>
      <c r="G10" s="128">
        <v>1</v>
      </c>
      <c r="H10" s="128"/>
      <c r="I10" s="129" t="s">
        <v>19</v>
      </c>
      <c r="J10" s="152"/>
      <c r="K10" s="152"/>
      <c r="L10" s="151"/>
      <c r="M10" s="188"/>
      <c r="N10" s="177"/>
      <c r="O10" s="131"/>
      <c r="P10" s="130" t="s">
        <v>239</v>
      </c>
      <c r="Q10" s="179"/>
    </row>
    <row r="11" spans="1:19" ht="25.5" x14ac:dyDescent="0.2">
      <c r="A11" s="143">
        <f t="shared" si="0"/>
        <v>4</v>
      </c>
      <c r="B11" s="187" t="s">
        <v>244</v>
      </c>
      <c r="C11" s="241" t="s">
        <v>245</v>
      </c>
      <c r="D11" s="242" t="s">
        <v>16</v>
      </c>
      <c r="E11" s="242"/>
      <c r="F11" s="242" t="s">
        <v>914</v>
      </c>
      <c r="G11" s="242">
        <v>1</v>
      </c>
      <c r="H11" s="128"/>
      <c r="I11" s="243" t="s">
        <v>20</v>
      </c>
      <c r="J11" s="152"/>
      <c r="K11" s="152"/>
      <c r="L11" s="151"/>
      <c r="M11" s="188"/>
      <c r="N11" s="177"/>
      <c r="O11" s="131"/>
      <c r="P11" s="245" t="s">
        <v>239</v>
      </c>
      <c r="Q11" s="215" t="s">
        <v>971</v>
      </c>
    </row>
    <row r="12" spans="1:19" ht="25.5" x14ac:dyDescent="0.2">
      <c r="A12" s="143">
        <f t="shared" si="0"/>
        <v>5</v>
      </c>
      <c r="B12" s="187" t="s">
        <v>246</v>
      </c>
      <c r="C12" s="151" t="s">
        <v>247</v>
      </c>
      <c r="D12" s="128" t="s">
        <v>16</v>
      </c>
      <c r="E12" s="128"/>
      <c r="F12" s="128" t="s">
        <v>238</v>
      </c>
      <c r="G12" s="128">
        <v>1</v>
      </c>
      <c r="H12" s="128"/>
      <c r="I12" s="129" t="s">
        <v>19</v>
      </c>
      <c r="J12" s="152"/>
      <c r="K12" s="152"/>
      <c r="L12" s="151"/>
      <c r="M12" s="188"/>
      <c r="N12" s="177"/>
      <c r="O12" s="131"/>
      <c r="P12" s="130" t="s">
        <v>248</v>
      </c>
      <c r="Q12" s="179"/>
    </row>
    <row r="13" spans="1:19" ht="25.5" x14ac:dyDescent="0.2">
      <c r="A13" s="143">
        <f t="shared" si="0"/>
        <v>6</v>
      </c>
      <c r="B13" s="187" t="s">
        <v>249</v>
      </c>
      <c r="C13" s="151" t="s">
        <v>944</v>
      </c>
      <c r="D13" s="128" t="s">
        <v>16</v>
      </c>
      <c r="E13" s="128"/>
      <c r="F13" s="128" t="s">
        <v>914</v>
      </c>
      <c r="G13" s="128">
        <v>1</v>
      </c>
      <c r="H13" s="128"/>
      <c r="I13" s="129" t="s">
        <v>900</v>
      </c>
      <c r="J13" s="152"/>
      <c r="K13" s="152"/>
      <c r="L13" s="151"/>
      <c r="M13" s="188"/>
      <c r="N13" s="177"/>
      <c r="O13" s="131"/>
      <c r="P13" s="130" t="s">
        <v>248</v>
      </c>
      <c r="Q13" s="164" t="s">
        <v>943</v>
      </c>
    </row>
    <row r="14" spans="1:19" ht="25.5" x14ac:dyDescent="0.2">
      <c r="A14" s="143">
        <f t="shared" si="0"/>
        <v>7</v>
      </c>
      <c r="B14" s="187" t="s">
        <v>250</v>
      </c>
      <c r="C14" s="151" t="s">
        <v>251</v>
      </c>
      <c r="D14" s="128" t="s">
        <v>16</v>
      </c>
      <c r="E14" s="128"/>
      <c r="F14" s="128" t="s">
        <v>238</v>
      </c>
      <c r="G14" s="128">
        <v>1</v>
      </c>
      <c r="H14" s="128"/>
      <c r="I14" s="129" t="s">
        <v>19</v>
      </c>
      <c r="J14" s="152"/>
      <c r="K14" s="152"/>
      <c r="L14" s="151"/>
      <c r="M14" s="188"/>
      <c r="N14" s="177"/>
      <c r="O14" s="131"/>
      <c r="P14" s="130" t="s">
        <v>248</v>
      </c>
      <c r="Q14" s="179"/>
    </row>
    <row r="15" spans="1:19" ht="25.5" x14ac:dyDescent="0.2">
      <c r="A15" s="143">
        <f t="shared" si="0"/>
        <v>8</v>
      </c>
      <c r="B15" s="187" t="s">
        <v>278</v>
      </c>
      <c r="C15" s="151" t="s">
        <v>821</v>
      </c>
      <c r="D15" s="128" t="s">
        <v>16</v>
      </c>
      <c r="E15" s="128"/>
      <c r="F15" s="128" t="s">
        <v>238</v>
      </c>
      <c r="G15" s="128">
        <v>1</v>
      </c>
      <c r="H15" s="128"/>
      <c r="I15" s="129" t="s">
        <v>19</v>
      </c>
      <c r="J15" s="152"/>
      <c r="K15" s="152"/>
      <c r="L15" s="151"/>
      <c r="M15" s="188"/>
      <c r="N15" s="177"/>
      <c r="O15" s="131"/>
      <c r="P15" s="130" t="s">
        <v>248</v>
      </c>
      <c r="Q15" s="179"/>
    </row>
    <row r="16" spans="1:19" ht="25.5" x14ac:dyDescent="0.2">
      <c r="A16" s="143">
        <f t="shared" si="0"/>
        <v>9</v>
      </c>
      <c r="B16" s="187" t="s">
        <v>279</v>
      </c>
      <c r="C16" s="151" t="s">
        <v>817</v>
      </c>
      <c r="D16" s="128" t="s">
        <v>16</v>
      </c>
      <c r="E16" s="128"/>
      <c r="F16" s="128" t="s">
        <v>238</v>
      </c>
      <c r="G16" s="128">
        <v>1</v>
      </c>
      <c r="H16" s="128"/>
      <c r="I16" s="129" t="s">
        <v>19</v>
      </c>
      <c r="J16" s="152"/>
      <c r="K16" s="152"/>
      <c r="L16" s="151"/>
      <c r="M16" s="188"/>
      <c r="N16" s="177"/>
      <c r="O16" s="131"/>
      <c r="P16" s="130" t="s">
        <v>248</v>
      </c>
      <c r="Q16" s="179"/>
    </row>
    <row r="17" spans="1:17" ht="25.5" x14ac:dyDescent="0.2">
      <c r="A17" s="143">
        <f t="shared" si="0"/>
        <v>10</v>
      </c>
      <c r="B17" s="187" t="s">
        <v>280</v>
      </c>
      <c r="C17" s="151" t="s">
        <v>252</v>
      </c>
      <c r="D17" s="128" t="s">
        <v>16</v>
      </c>
      <c r="E17" s="128"/>
      <c r="F17" s="128" t="s">
        <v>238</v>
      </c>
      <c r="G17" s="128">
        <v>1</v>
      </c>
      <c r="H17" s="128"/>
      <c r="I17" s="129" t="s">
        <v>19</v>
      </c>
      <c r="J17" s="152"/>
      <c r="K17" s="152"/>
      <c r="L17" s="151"/>
      <c r="M17" s="188"/>
      <c r="N17" s="177"/>
      <c r="O17" s="131"/>
      <c r="P17" s="130" t="s">
        <v>248</v>
      </c>
      <c r="Q17" s="179"/>
    </row>
    <row r="18" spans="1:17" ht="25.5" x14ac:dyDescent="0.2">
      <c r="A18" s="143">
        <f t="shared" si="0"/>
        <v>11</v>
      </c>
      <c r="B18" s="187" t="s">
        <v>281</v>
      </c>
      <c r="C18" s="151" t="s">
        <v>253</v>
      </c>
      <c r="D18" s="128" t="s">
        <v>16</v>
      </c>
      <c r="E18" s="128"/>
      <c r="F18" s="128" t="s">
        <v>238</v>
      </c>
      <c r="G18" s="128">
        <v>1</v>
      </c>
      <c r="H18" s="128"/>
      <c r="I18" s="129" t="s">
        <v>19</v>
      </c>
      <c r="J18" s="128"/>
      <c r="K18" s="128"/>
      <c r="L18" s="151"/>
      <c r="M18" s="129"/>
      <c r="N18" s="151"/>
      <c r="O18" s="131"/>
      <c r="P18" s="130" t="s">
        <v>248</v>
      </c>
      <c r="Q18" s="164"/>
    </row>
    <row r="19" spans="1:17" ht="25.5" x14ac:dyDescent="0.2">
      <c r="A19" s="143">
        <f t="shared" si="0"/>
        <v>12</v>
      </c>
      <c r="B19" s="187" t="s">
        <v>282</v>
      </c>
      <c r="C19" s="151" t="s">
        <v>254</v>
      </c>
      <c r="D19" s="128" t="s">
        <v>16</v>
      </c>
      <c r="E19" s="128"/>
      <c r="F19" s="128" t="s">
        <v>238</v>
      </c>
      <c r="G19" s="128">
        <v>1</v>
      </c>
      <c r="H19" s="128"/>
      <c r="I19" s="129" t="s">
        <v>19</v>
      </c>
      <c r="J19" s="128"/>
      <c r="K19" s="128"/>
      <c r="L19" s="151"/>
      <c r="M19" s="129"/>
      <c r="N19" s="151"/>
      <c r="O19" s="131"/>
      <c r="P19" s="130" t="s">
        <v>248</v>
      </c>
      <c r="Q19" s="164"/>
    </row>
    <row r="20" spans="1:17" ht="25.5" x14ac:dyDescent="0.2">
      <c r="A20" s="143">
        <f t="shared" si="0"/>
        <v>13</v>
      </c>
      <c r="B20" s="187" t="s">
        <v>283</v>
      </c>
      <c r="C20" s="241" t="s">
        <v>255</v>
      </c>
      <c r="D20" s="242" t="s">
        <v>16</v>
      </c>
      <c r="E20" s="242"/>
      <c r="F20" s="242" t="s">
        <v>914</v>
      </c>
      <c r="G20" s="242">
        <v>1</v>
      </c>
      <c r="H20" s="128"/>
      <c r="I20" s="243" t="s">
        <v>20</v>
      </c>
      <c r="J20" s="128"/>
      <c r="K20" s="128"/>
      <c r="L20" s="151"/>
      <c r="M20" s="129"/>
      <c r="N20" s="151"/>
      <c r="O20" s="131"/>
      <c r="P20" s="245" t="s">
        <v>248</v>
      </c>
      <c r="Q20" s="215" t="s">
        <v>971</v>
      </c>
    </row>
    <row r="21" spans="1:17" ht="51" x14ac:dyDescent="0.2">
      <c r="A21" s="143">
        <f t="shared" si="0"/>
        <v>14</v>
      </c>
      <c r="B21" s="187" t="s">
        <v>256</v>
      </c>
      <c r="C21" s="151" t="s">
        <v>822</v>
      </c>
      <c r="D21" s="128" t="s">
        <v>16</v>
      </c>
      <c r="E21" s="128" t="s">
        <v>257</v>
      </c>
      <c r="F21" s="128" t="s">
        <v>238</v>
      </c>
      <c r="G21" s="128">
        <v>1</v>
      </c>
      <c r="H21" s="128"/>
      <c r="I21" s="129" t="s">
        <v>19</v>
      </c>
      <c r="J21" s="128"/>
      <c r="K21" s="128"/>
      <c r="L21" s="151"/>
      <c r="M21" s="129"/>
      <c r="N21" s="151"/>
      <c r="O21" s="131"/>
      <c r="P21" s="130" t="s">
        <v>436</v>
      </c>
      <c r="Q21" s="164"/>
    </row>
    <row r="22" spans="1:17" ht="89.25" x14ac:dyDescent="0.2">
      <c r="A22" s="143">
        <f t="shared" si="0"/>
        <v>15</v>
      </c>
      <c r="B22" s="187" t="s">
        <v>258</v>
      </c>
      <c r="C22" s="151" t="s">
        <v>1025</v>
      </c>
      <c r="D22" s="128" t="s">
        <v>16</v>
      </c>
      <c r="E22" s="128"/>
      <c r="F22" s="128" t="s">
        <v>1015</v>
      </c>
      <c r="G22" s="128">
        <v>1</v>
      </c>
      <c r="H22" s="128"/>
      <c r="I22" s="129" t="s">
        <v>900</v>
      </c>
      <c r="J22" s="128"/>
      <c r="K22" s="128"/>
      <c r="L22" s="151"/>
      <c r="M22" s="129"/>
      <c r="N22" s="151"/>
      <c r="O22" s="131"/>
      <c r="P22" s="130" t="s">
        <v>259</v>
      </c>
      <c r="Q22" s="164" t="s">
        <v>1026</v>
      </c>
    </row>
    <row r="23" spans="1:17" ht="102" x14ac:dyDescent="0.2">
      <c r="A23" s="143">
        <f t="shared" si="0"/>
        <v>16</v>
      </c>
      <c r="B23" s="187" t="s">
        <v>260</v>
      </c>
      <c r="C23" s="151" t="s">
        <v>1027</v>
      </c>
      <c r="D23" s="128" t="s">
        <v>16</v>
      </c>
      <c r="E23" s="128"/>
      <c r="F23" s="128" t="s">
        <v>1015</v>
      </c>
      <c r="G23" s="128">
        <v>1</v>
      </c>
      <c r="H23" s="128"/>
      <c r="I23" s="129" t="s">
        <v>900</v>
      </c>
      <c r="J23" s="128"/>
      <c r="K23" s="128"/>
      <c r="L23" s="151"/>
      <c r="M23" s="129"/>
      <c r="N23" s="151"/>
      <c r="O23" s="131"/>
      <c r="P23" s="130" t="s">
        <v>261</v>
      </c>
      <c r="Q23" s="164" t="s">
        <v>1030</v>
      </c>
    </row>
    <row r="24" spans="1:17" ht="63.75" x14ac:dyDescent="0.2">
      <c r="A24" s="143">
        <f t="shared" si="0"/>
        <v>17</v>
      </c>
      <c r="B24" s="187" t="s">
        <v>262</v>
      </c>
      <c r="C24" s="151" t="s">
        <v>972</v>
      </c>
      <c r="D24" s="128" t="s">
        <v>16</v>
      </c>
      <c r="E24" s="128"/>
      <c r="F24" s="128" t="s">
        <v>914</v>
      </c>
      <c r="G24" s="128">
        <v>1</v>
      </c>
      <c r="H24" s="128"/>
      <c r="I24" s="129" t="s">
        <v>900</v>
      </c>
      <c r="J24" s="128"/>
      <c r="K24" s="128"/>
      <c r="L24" s="151"/>
      <c r="M24" s="129"/>
      <c r="N24" s="151"/>
      <c r="O24" s="131"/>
      <c r="P24" s="130" t="s">
        <v>263</v>
      </c>
      <c r="Q24" s="164" t="s">
        <v>1031</v>
      </c>
    </row>
    <row r="25" spans="1:17" ht="63.75" x14ac:dyDescent="0.2">
      <c r="A25" s="143">
        <f t="shared" si="0"/>
        <v>18</v>
      </c>
      <c r="B25" s="187" t="s">
        <v>264</v>
      </c>
      <c r="C25" s="151" t="s">
        <v>1028</v>
      </c>
      <c r="D25" s="128" t="s">
        <v>16</v>
      </c>
      <c r="E25" s="128"/>
      <c r="F25" s="128" t="s">
        <v>1015</v>
      </c>
      <c r="G25" s="128">
        <v>1</v>
      </c>
      <c r="H25" s="128"/>
      <c r="I25" s="129" t="s">
        <v>900</v>
      </c>
      <c r="J25" s="128"/>
      <c r="K25" s="128"/>
      <c r="L25" s="151"/>
      <c r="M25" s="129"/>
      <c r="N25" s="151"/>
      <c r="O25" s="131"/>
      <c r="P25" s="131" t="s">
        <v>259</v>
      </c>
      <c r="Q25" s="164" t="s">
        <v>1032</v>
      </c>
    </row>
    <row r="26" spans="1:17" ht="38.25" x14ac:dyDescent="0.2">
      <c r="A26" s="143">
        <f t="shared" si="0"/>
        <v>19</v>
      </c>
      <c r="B26" s="187" t="s">
        <v>265</v>
      </c>
      <c r="C26" s="151" t="s">
        <v>1029</v>
      </c>
      <c r="D26" s="128" t="s">
        <v>16</v>
      </c>
      <c r="E26" s="128"/>
      <c r="F26" s="128" t="s">
        <v>1015</v>
      </c>
      <c r="G26" s="128">
        <v>1</v>
      </c>
      <c r="H26" s="128"/>
      <c r="I26" s="129" t="s">
        <v>900</v>
      </c>
      <c r="J26" s="128"/>
      <c r="K26" s="128"/>
      <c r="L26" s="151"/>
      <c r="M26" s="129"/>
      <c r="N26" s="151"/>
      <c r="O26" s="131"/>
      <c r="P26" s="131" t="s">
        <v>259</v>
      </c>
      <c r="Q26" s="164" t="s">
        <v>1033</v>
      </c>
    </row>
    <row r="27" spans="1:17" x14ac:dyDescent="0.2">
      <c r="A27" s="143">
        <f t="shared" si="0"/>
        <v>20</v>
      </c>
      <c r="B27" s="187" t="s">
        <v>266</v>
      </c>
      <c r="C27" s="151" t="s">
        <v>267</v>
      </c>
      <c r="D27" s="128" t="s">
        <v>16</v>
      </c>
      <c r="E27" s="128"/>
      <c r="F27" s="128" t="s">
        <v>238</v>
      </c>
      <c r="G27" s="128">
        <v>1</v>
      </c>
      <c r="H27" s="128"/>
      <c r="I27" s="129" t="s">
        <v>19</v>
      </c>
      <c r="J27" s="128"/>
      <c r="K27" s="128"/>
      <c r="L27" s="151"/>
      <c r="M27" s="129"/>
      <c r="N27" s="151"/>
      <c r="O27" s="131"/>
      <c r="P27" s="131" t="s">
        <v>259</v>
      </c>
      <c r="Q27" s="164"/>
    </row>
    <row r="28" spans="1:17" ht="153" x14ac:dyDescent="0.2">
      <c r="A28" s="143">
        <f t="shared" si="0"/>
        <v>21</v>
      </c>
      <c r="B28" s="187" t="s">
        <v>268</v>
      </c>
      <c r="C28" s="151" t="s">
        <v>809</v>
      </c>
      <c r="D28" s="128" t="s">
        <v>16</v>
      </c>
      <c r="E28" s="128"/>
      <c r="F28" s="128" t="s">
        <v>238</v>
      </c>
      <c r="G28" s="128">
        <v>1</v>
      </c>
      <c r="H28" s="128"/>
      <c r="I28" s="129" t="s">
        <v>19</v>
      </c>
      <c r="J28" s="128"/>
      <c r="K28" s="128"/>
      <c r="L28" s="151"/>
      <c r="M28" s="129"/>
      <c r="N28" s="151"/>
      <c r="O28" s="131"/>
      <c r="P28" s="130" t="s">
        <v>269</v>
      </c>
      <c r="Q28" s="164"/>
    </row>
    <row r="29" spans="1:17" ht="25.5" x14ac:dyDescent="0.2">
      <c r="A29" s="143">
        <f t="shared" si="0"/>
        <v>22</v>
      </c>
      <c r="B29" s="187" t="s">
        <v>270</v>
      </c>
      <c r="C29" s="151" t="s">
        <v>731</v>
      </c>
      <c r="D29" s="128" t="s">
        <v>16</v>
      </c>
      <c r="E29" s="128"/>
      <c r="F29" s="128" t="s">
        <v>238</v>
      </c>
      <c r="G29" s="128">
        <v>1</v>
      </c>
      <c r="H29" s="128"/>
      <c r="I29" s="129" t="s">
        <v>19</v>
      </c>
      <c r="J29" s="128"/>
      <c r="K29" s="128"/>
      <c r="L29" s="151"/>
      <c r="M29" s="129"/>
      <c r="N29" s="151"/>
      <c r="O29" s="131"/>
      <c r="P29" s="130" t="s">
        <v>343</v>
      </c>
      <c r="Q29" s="164"/>
    </row>
    <row r="30" spans="1:17" ht="25.5" x14ac:dyDescent="0.2">
      <c r="A30" s="143">
        <f t="shared" si="0"/>
        <v>23</v>
      </c>
      <c r="B30" s="187" t="s">
        <v>359</v>
      </c>
      <c r="C30" s="151" t="s">
        <v>346</v>
      </c>
      <c r="D30" s="128" t="s">
        <v>16</v>
      </c>
      <c r="E30" s="128"/>
      <c r="F30" s="128" t="s">
        <v>238</v>
      </c>
      <c r="G30" s="128">
        <v>1</v>
      </c>
      <c r="H30" s="128"/>
      <c r="I30" s="129" t="s">
        <v>19</v>
      </c>
      <c r="J30" s="128"/>
      <c r="K30" s="128"/>
      <c r="L30" s="151"/>
      <c r="M30" s="129"/>
      <c r="N30" s="151"/>
      <c r="O30" s="131"/>
      <c r="P30" s="130" t="s">
        <v>342</v>
      </c>
      <c r="Q30" s="164"/>
    </row>
    <row r="31" spans="1:17" ht="25.5" x14ac:dyDescent="0.2">
      <c r="A31" s="143">
        <f t="shared" si="0"/>
        <v>24</v>
      </c>
      <c r="B31" s="187" t="s">
        <v>360</v>
      </c>
      <c r="C31" s="151" t="s">
        <v>345</v>
      </c>
      <c r="D31" s="128" t="s">
        <v>16</v>
      </c>
      <c r="E31" s="128"/>
      <c r="F31" s="128" t="s">
        <v>238</v>
      </c>
      <c r="G31" s="128">
        <v>1</v>
      </c>
      <c r="H31" s="128"/>
      <c r="I31" s="129" t="s">
        <v>19</v>
      </c>
      <c r="J31" s="128"/>
      <c r="K31" s="128"/>
      <c r="L31" s="151"/>
      <c r="M31" s="129"/>
      <c r="N31" s="151"/>
      <c r="O31" s="131"/>
      <c r="P31" s="130" t="s">
        <v>342</v>
      </c>
      <c r="Q31" s="164"/>
    </row>
    <row r="32" spans="1:17" ht="25.5" x14ac:dyDescent="0.2">
      <c r="A32" s="143">
        <f t="shared" si="0"/>
        <v>25</v>
      </c>
      <c r="B32" s="187" t="s">
        <v>361</v>
      </c>
      <c r="C32" s="214" t="s">
        <v>702</v>
      </c>
      <c r="D32" s="128" t="s">
        <v>16</v>
      </c>
      <c r="E32" s="128"/>
      <c r="F32" s="128" t="s">
        <v>238</v>
      </c>
      <c r="G32" s="128">
        <v>1</v>
      </c>
      <c r="H32" s="128"/>
      <c r="I32" s="129" t="s">
        <v>19</v>
      </c>
      <c r="J32" s="128"/>
      <c r="K32" s="128"/>
      <c r="L32" s="151"/>
      <c r="M32" s="129"/>
      <c r="N32" s="151"/>
      <c r="O32" s="131"/>
      <c r="P32" s="130" t="s">
        <v>342</v>
      </c>
      <c r="Q32" s="164"/>
    </row>
    <row r="33" spans="1:17" x14ac:dyDescent="0.2">
      <c r="A33" s="143">
        <f t="shared" si="0"/>
        <v>26</v>
      </c>
      <c r="B33" s="187" t="s">
        <v>362</v>
      </c>
      <c r="C33" s="151" t="s">
        <v>344</v>
      </c>
      <c r="D33" s="128" t="s">
        <v>16</v>
      </c>
      <c r="E33" s="128"/>
      <c r="F33" s="128" t="s">
        <v>238</v>
      </c>
      <c r="G33" s="128">
        <v>1</v>
      </c>
      <c r="H33" s="128"/>
      <c r="I33" s="129" t="s">
        <v>19</v>
      </c>
      <c r="J33" s="128"/>
      <c r="K33" s="128"/>
      <c r="L33" s="151"/>
      <c r="M33" s="129"/>
      <c r="N33" s="151"/>
      <c r="O33" s="131"/>
      <c r="P33" s="130" t="s">
        <v>342</v>
      </c>
      <c r="Q33" s="164"/>
    </row>
    <row r="34" spans="1:17" ht="25.5" x14ac:dyDescent="0.2">
      <c r="A34" s="143">
        <f t="shared" si="0"/>
        <v>27</v>
      </c>
      <c r="B34" s="187" t="s">
        <v>363</v>
      </c>
      <c r="C34" s="151" t="s">
        <v>347</v>
      </c>
      <c r="D34" s="128" t="s">
        <v>16</v>
      </c>
      <c r="E34" s="128"/>
      <c r="F34" s="128" t="s">
        <v>238</v>
      </c>
      <c r="G34" s="128">
        <v>1</v>
      </c>
      <c r="H34" s="128"/>
      <c r="I34" s="129" t="s">
        <v>19</v>
      </c>
      <c r="J34" s="128"/>
      <c r="K34" s="128"/>
      <c r="L34" s="151"/>
      <c r="M34" s="129"/>
      <c r="N34" s="151"/>
      <c r="O34" s="131"/>
      <c r="P34" s="130" t="s">
        <v>343</v>
      </c>
      <c r="Q34" s="164"/>
    </row>
    <row r="35" spans="1:17" ht="51" x14ac:dyDescent="0.2">
      <c r="A35" s="143">
        <f t="shared" si="0"/>
        <v>28</v>
      </c>
      <c r="B35" s="187" t="s">
        <v>379</v>
      </c>
      <c r="C35" s="151" t="s">
        <v>818</v>
      </c>
      <c r="D35" s="128" t="s">
        <v>16</v>
      </c>
      <c r="E35" s="128"/>
      <c r="F35" s="128" t="s">
        <v>914</v>
      </c>
      <c r="G35" s="128">
        <v>1</v>
      </c>
      <c r="H35" s="128"/>
      <c r="I35" s="129" t="s">
        <v>900</v>
      </c>
      <c r="J35" s="128"/>
      <c r="K35" s="128"/>
      <c r="L35" s="151"/>
      <c r="M35" s="129"/>
      <c r="N35" s="151"/>
      <c r="O35" s="131"/>
      <c r="P35" s="130" t="s">
        <v>423</v>
      </c>
      <c r="Q35" s="164" t="s">
        <v>919</v>
      </c>
    </row>
    <row r="36" spans="1:17" ht="25.5" x14ac:dyDescent="0.2">
      <c r="A36" s="143">
        <f t="shared" si="0"/>
        <v>29</v>
      </c>
      <c r="B36" s="187" t="s">
        <v>424</v>
      </c>
      <c r="C36" s="151" t="s">
        <v>676</v>
      </c>
      <c r="D36" s="128" t="s">
        <v>16</v>
      </c>
      <c r="E36" s="128"/>
      <c r="F36" s="128" t="s">
        <v>238</v>
      </c>
      <c r="G36" s="128">
        <v>1</v>
      </c>
      <c r="H36" s="128"/>
      <c r="I36" s="129" t="s">
        <v>19</v>
      </c>
      <c r="J36" s="128"/>
      <c r="K36" s="128"/>
      <c r="L36" s="151"/>
      <c r="M36" s="129"/>
      <c r="N36" s="151"/>
      <c r="O36" s="131"/>
      <c r="P36" s="130" t="s">
        <v>343</v>
      </c>
      <c r="Q36" s="164"/>
    </row>
    <row r="37" spans="1:17" x14ac:dyDescent="0.2">
      <c r="A37" s="143">
        <f t="shared" si="0"/>
        <v>30</v>
      </c>
      <c r="B37" s="187" t="s">
        <v>709</v>
      </c>
      <c r="C37" s="151" t="s">
        <v>680</v>
      </c>
      <c r="D37" s="128" t="s">
        <v>16</v>
      </c>
      <c r="E37" s="128"/>
      <c r="F37" s="128" t="s">
        <v>238</v>
      </c>
      <c r="G37" s="128">
        <v>1</v>
      </c>
      <c r="H37" s="128"/>
      <c r="I37" s="129" t="s">
        <v>19</v>
      </c>
      <c r="J37" s="128"/>
      <c r="K37" s="128"/>
      <c r="L37" s="151"/>
      <c r="M37" s="129"/>
      <c r="N37" s="151"/>
      <c r="O37" s="131"/>
      <c r="P37" s="130" t="s">
        <v>342</v>
      </c>
      <c r="Q37" s="164"/>
    </row>
    <row r="38" spans="1:17" x14ac:dyDescent="0.2">
      <c r="A38" s="143">
        <f t="shared" si="0"/>
        <v>31</v>
      </c>
      <c r="B38" s="187" t="s">
        <v>425</v>
      </c>
      <c r="C38" s="151" t="s">
        <v>564</v>
      </c>
      <c r="D38" s="128" t="s">
        <v>16</v>
      </c>
      <c r="E38" s="128"/>
      <c r="F38" s="128" t="s">
        <v>238</v>
      </c>
      <c r="G38" s="128">
        <v>1</v>
      </c>
      <c r="H38" s="128"/>
      <c r="I38" s="129" t="s">
        <v>19</v>
      </c>
      <c r="J38" s="128"/>
      <c r="K38" s="128"/>
      <c r="L38" s="151"/>
      <c r="M38" s="129"/>
      <c r="N38" s="151"/>
      <c r="O38" s="131"/>
      <c r="P38" s="130" t="s">
        <v>342</v>
      </c>
      <c r="Q38" s="164"/>
    </row>
    <row r="39" spans="1:17" ht="25.5" x14ac:dyDescent="0.2">
      <c r="A39" s="143">
        <f t="shared" si="0"/>
        <v>32</v>
      </c>
      <c r="B39" s="187" t="s">
        <v>565</v>
      </c>
      <c r="C39" s="151" t="s">
        <v>945</v>
      </c>
      <c r="D39" s="128" t="s">
        <v>16</v>
      </c>
      <c r="E39" s="128"/>
      <c r="F39" s="128" t="s">
        <v>914</v>
      </c>
      <c r="G39" s="128">
        <v>1</v>
      </c>
      <c r="H39" s="128"/>
      <c r="I39" s="129" t="s">
        <v>900</v>
      </c>
      <c r="J39" s="128"/>
      <c r="K39" s="128"/>
      <c r="L39" s="151"/>
      <c r="M39" s="129"/>
      <c r="N39" s="151"/>
      <c r="O39" s="131"/>
      <c r="P39" s="130" t="s">
        <v>342</v>
      </c>
      <c r="Q39" s="164" t="s">
        <v>946</v>
      </c>
    </row>
    <row r="40" spans="1:17" x14ac:dyDescent="0.2">
      <c r="A40" s="143">
        <f t="shared" si="0"/>
        <v>33</v>
      </c>
      <c r="B40" s="187" t="s">
        <v>566</v>
      </c>
      <c r="C40" s="151" t="s">
        <v>422</v>
      </c>
      <c r="D40" s="128" t="s">
        <v>16</v>
      </c>
      <c r="E40" s="128"/>
      <c r="F40" s="128" t="s">
        <v>238</v>
      </c>
      <c r="G40" s="128">
        <v>1</v>
      </c>
      <c r="H40" s="128"/>
      <c r="I40" s="129" t="s">
        <v>19</v>
      </c>
      <c r="J40" s="128"/>
      <c r="K40" s="128"/>
      <c r="L40" s="151"/>
      <c r="M40" s="129"/>
      <c r="N40" s="151"/>
      <c r="O40" s="131"/>
      <c r="P40" s="130" t="s">
        <v>342</v>
      </c>
      <c r="Q40" s="164"/>
    </row>
    <row r="41" spans="1:17" ht="25.5" x14ac:dyDescent="0.2">
      <c r="A41" s="143">
        <f t="shared" si="0"/>
        <v>34</v>
      </c>
      <c r="B41" s="187" t="s">
        <v>710</v>
      </c>
      <c r="C41" s="151" t="s">
        <v>172</v>
      </c>
      <c r="D41" s="128" t="s">
        <v>16</v>
      </c>
      <c r="E41" s="128"/>
      <c r="F41" s="128" t="s">
        <v>238</v>
      </c>
      <c r="G41" s="128">
        <v>1</v>
      </c>
      <c r="H41" s="128"/>
      <c r="I41" s="129" t="s">
        <v>19</v>
      </c>
      <c r="J41" s="128"/>
      <c r="K41" s="128"/>
      <c r="L41" s="151"/>
      <c r="M41" s="129"/>
      <c r="N41" s="151"/>
      <c r="O41" s="131"/>
      <c r="P41" s="130" t="s">
        <v>348</v>
      </c>
      <c r="Q41" s="164"/>
    </row>
    <row r="42" spans="1:17" ht="38.25" x14ac:dyDescent="0.2">
      <c r="A42" s="143">
        <f t="shared" si="0"/>
        <v>35</v>
      </c>
      <c r="B42" s="187" t="s">
        <v>711</v>
      </c>
      <c r="C42" s="151" t="s">
        <v>732</v>
      </c>
      <c r="D42" s="128" t="s">
        <v>16</v>
      </c>
      <c r="E42" s="128"/>
      <c r="F42" s="128" t="s">
        <v>238</v>
      </c>
      <c r="G42" s="128">
        <v>1</v>
      </c>
      <c r="H42" s="128"/>
      <c r="I42" s="129" t="s">
        <v>19</v>
      </c>
      <c r="J42" s="128"/>
      <c r="K42" s="128"/>
      <c r="L42" s="151"/>
      <c r="M42" s="129"/>
      <c r="N42" s="151"/>
      <c r="O42" s="131"/>
      <c r="P42" s="130" t="s">
        <v>351</v>
      </c>
      <c r="Q42" s="164"/>
    </row>
    <row r="43" spans="1:17" ht="51" x14ac:dyDescent="0.2">
      <c r="A43" s="143">
        <f t="shared" si="0"/>
        <v>36</v>
      </c>
      <c r="B43" s="187" t="s">
        <v>712</v>
      </c>
      <c r="C43" s="151" t="s">
        <v>947</v>
      </c>
      <c r="D43" s="128" t="s">
        <v>16</v>
      </c>
      <c r="E43" s="128"/>
      <c r="F43" s="128" t="s">
        <v>914</v>
      </c>
      <c r="G43" s="128">
        <v>1</v>
      </c>
      <c r="H43" s="128"/>
      <c r="I43" s="129" t="s">
        <v>900</v>
      </c>
      <c r="J43" s="128"/>
      <c r="K43" s="128"/>
      <c r="L43" s="151"/>
      <c r="M43" s="129"/>
      <c r="N43" s="151"/>
      <c r="O43" s="131"/>
      <c r="P43" s="130" t="s">
        <v>357</v>
      </c>
      <c r="Q43" s="164" t="s">
        <v>948</v>
      </c>
    </row>
    <row r="44" spans="1:17" ht="127.5" x14ac:dyDescent="0.2">
      <c r="A44" s="143">
        <f t="shared" si="0"/>
        <v>37</v>
      </c>
      <c r="B44" s="187" t="s">
        <v>637</v>
      </c>
      <c r="C44" s="214" t="s">
        <v>750</v>
      </c>
      <c r="D44" s="128" t="s">
        <v>16</v>
      </c>
      <c r="E44" s="128"/>
      <c r="F44" s="128" t="s">
        <v>238</v>
      </c>
      <c r="G44" s="128">
        <v>1</v>
      </c>
      <c r="H44" s="128"/>
      <c r="I44" s="129" t="s">
        <v>19</v>
      </c>
      <c r="J44" s="128"/>
      <c r="K44" s="128"/>
      <c r="L44" s="151"/>
      <c r="M44" s="129"/>
      <c r="N44" s="151"/>
      <c r="O44" s="131"/>
      <c r="P44" s="130" t="s">
        <v>695</v>
      </c>
      <c r="Q44" s="213" t="s">
        <v>696</v>
      </c>
    </row>
    <row r="45" spans="1:17" ht="216.75" x14ac:dyDescent="0.2">
      <c r="A45" s="143">
        <f t="shared" si="0"/>
        <v>38</v>
      </c>
      <c r="B45" s="187" t="s">
        <v>638</v>
      </c>
      <c r="C45" s="151" t="s">
        <v>977</v>
      </c>
      <c r="D45" s="128" t="s">
        <v>16</v>
      </c>
      <c r="E45" s="128"/>
      <c r="F45" s="128" t="s">
        <v>914</v>
      </c>
      <c r="G45" s="128">
        <v>1</v>
      </c>
      <c r="H45" s="128"/>
      <c r="I45" s="129" t="s">
        <v>900</v>
      </c>
      <c r="J45" s="128"/>
      <c r="K45" s="128"/>
      <c r="L45" s="151"/>
      <c r="M45" s="129"/>
      <c r="N45" s="151"/>
      <c r="O45" s="131"/>
      <c r="P45" s="130" t="s">
        <v>350</v>
      </c>
      <c r="Q45" s="164" t="s">
        <v>976</v>
      </c>
    </row>
    <row r="46" spans="1:17" ht="25.5" x14ac:dyDescent="0.2">
      <c r="A46" s="143">
        <f t="shared" si="0"/>
        <v>39</v>
      </c>
      <c r="B46" s="187" t="s">
        <v>639</v>
      </c>
      <c r="C46" s="151" t="s">
        <v>751</v>
      </c>
      <c r="D46" s="128" t="s">
        <v>16</v>
      </c>
      <c r="E46" s="128"/>
      <c r="F46" s="128" t="s">
        <v>238</v>
      </c>
      <c r="G46" s="128">
        <v>1</v>
      </c>
      <c r="H46" s="128"/>
      <c r="I46" s="129" t="s">
        <v>19</v>
      </c>
      <c r="J46" s="128"/>
      <c r="K46" s="128"/>
      <c r="L46" s="156"/>
      <c r="M46" s="129"/>
      <c r="N46" s="156"/>
      <c r="O46" s="158"/>
      <c r="P46" s="130" t="s">
        <v>906</v>
      </c>
      <c r="Q46" s="164"/>
    </row>
    <row r="47" spans="1:17" ht="25.5" x14ac:dyDescent="0.2">
      <c r="A47" s="143">
        <f t="shared" si="0"/>
        <v>40</v>
      </c>
      <c r="B47" s="187" t="s">
        <v>682</v>
      </c>
      <c r="C47" s="151" t="s">
        <v>683</v>
      </c>
      <c r="D47" s="128" t="s">
        <v>16</v>
      </c>
      <c r="E47" s="128"/>
      <c r="F47" s="128" t="s">
        <v>238</v>
      </c>
      <c r="G47" s="128">
        <v>1</v>
      </c>
      <c r="H47" s="128"/>
      <c r="I47" s="129" t="s">
        <v>19</v>
      </c>
      <c r="J47" s="128"/>
      <c r="K47" s="128"/>
      <c r="L47" s="156"/>
      <c r="M47" s="129"/>
      <c r="N47" s="156"/>
      <c r="O47" s="158"/>
      <c r="P47" s="130" t="s">
        <v>906</v>
      </c>
      <c r="Q47" s="164"/>
    </row>
    <row r="48" spans="1:17" x14ac:dyDescent="0.2">
      <c r="A48" s="143">
        <f t="shared" si="0"/>
        <v>41</v>
      </c>
      <c r="B48" s="187" t="s">
        <v>688</v>
      </c>
      <c r="C48" s="151" t="s">
        <v>662</v>
      </c>
      <c r="D48" s="128" t="s">
        <v>16</v>
      </c>
      <c r="E48" s="128"/>
      <c r="F48" s="128" t="s">
        <v>238</v>
      </c>
      <c r="G48" s="128">
        <v>1</v>
      </c>
      <c r="H48" s="128"/>
      <c r="I48" s="129" t="s">
        <v>19</v>
      </c>
      <c r="J48" s="128"/>
      <c r="K48" s="128"/>
      <c r="L48" s="151"/>
      <c r="M48" s="129"/>
      <c r="N48" s="151"/>
      <c r="O48" s="131"/>
      <c r="P48" s="131" t="s">
        <v>369</v>
      </c>
      <c r="Q48" s="166" t="s">
        <v>697</v>
      </c>
    </row>
    <row r="49" spans="1:17" ht="63.75" x14ac:dyDescent="0.2">
      <c r="A49" s="143">
        <f t="shared" si="0"/>
        <v>42</v>
      </c>
      <c r="B49" s="187" t="s">
        <v>684</v>
      </c>
      <c r="C49" s="151" t="s">
        <v>698</v>
      </c>
      <c r="D49" s="128" t="s">
        <v>16</v>
      </c>
      <c r="E49" s="128"/>
      <c r="F49" s="128" t="s">
        <v>238</v>
      </c>
      <c r="G49" s="128">
        <v>1</v>
      </c>
      <c r="H49" s="128"/>
      <c r="I49" s="129" t="s">
        <v>19</v>
      </c>
      <c r="J49" s="128"/>
      <c r="K49" s="128"/>
      <c r="L49" s="151"/>
      <c r="M49" s="129"/>
      <c r="N49" s="151"/>
      <c r="O49" s="131"/>
      <c r="P49" s="131" t="s">
        <v>907</v>
      </c>
      <c r="Q49" s="164" t="s">
        <v>752</v>
      </c>
    </row>
    <row r="50" spans="1:17" ht="25.5" x14ac:dyDescent="0.2">
      <c r="A50" s="143">
        <f t="shared" si="0"/>
        <v>43</v>
      </c>
      <c r="B50" s="187" t="s">
        <v>271</v>
      </c>
      <c r="C50" s="151" t="s">
        <v>173</v>
      </c>
      <c r="D50" s="128" t="s">
        <v>16</v>
      </c>
      <c r="E50" s="128"/>
      <c r="F50" s="128" t="s">
        <v>238</v>
      </c>
      <c r="G50" s="128">
        <v>1</v>
      </c>
      <c r="H50" s="128"/>
      <c r="I50" s="129" t="s">
        <v>19</v>
      </c>
      <c r="J50" s="128"/>
      <c r="K50" s="128"/>
      <c r="L50" s="151"/>
      <c r="M50" s="129"/>
      <c r="N50" s="151"/>
      <c r="O50" s="131"/>
      <c r="P50" s="130" t="s">
        <v>351</v>
      </c>
      <c r="Q50" s="164"/>
    </row>
    <row r="51" spans="1:17" ht="25.5" x14ac:dyDescent="0.2">
      <c r="A51" s="143">
        <f t="shared" si="0"/>
        <v>44</v>
      </c>
      <c r="B51" s="187" t="s">
        <v>340</v>
      </c>
      <c r="C51" s="151" t="s">
        <v>733</v>
      </c>
      <c r="D51" s="128" t="s">
        <v>16</v>
      </c>
      <c r="E51" s="128"/>
      <c r="F51" s="128" t="s">
        <v>238</v>
      </c>
      <c r="G51" s="128">
        <v>1</v>
      </c>
      <c r="H51" s="128"/>
      <c r="I51" s="129" t="s">
        <v>19</v>
      </c>
      <c r="J51" s="128"/>
      <c r="K51" s="128"/>
      <c r="L51" s="151"/>
      <c r="M51" s="129"/>
      <c r="N51" s="151"/>
      <c r="O51" s="131"/>
      <c r="P51" s="130" t="s">
        <v>351</v>
      </c>
      <c r="Q51" s="164"/>
    </row>
    <row r="52" spans="1:17" ht="25.5" x14ac:dyDescent="0.2">
      <c r="A52" s="143">
        <f t="shared" si="0"/>
        <v>45</v>
      </c>
      <c r="B52" s="187" t="s">
        <v>358</v>
      </c>
      <c r="C52" s="151" t="s">
        <v>681</v>
      </c>
      <c r="D52" s="128" t="s">
        <v>16</v>
      </c>
      <c r="E52" s="128"/>
      <c r="F52" s="128" t="s">
        <v>238</v>
      </c>
      <c r="G52" s="128">
        <v>1</v>
      </c>
      <c r="H52" s="128"/>
      <c r="I52" s="129" t="s">
        <v>19</v>
      </c>
      <c r="J52" s="128"/>
      <c r="K52" s="128"/>
      <c r="L52" s="151"/>
      <c r="M52" s="129"/>
      <c r="N52" s="151"/>
      <c r="O52" s="131"/>
      <c r="P52" s="130"/>
      <c r="Q52" s="164" t="s">
        <v>645</v>
      </c>
    </row>
    <row r="53" spans="1:17" ht="25.5" x14ac:dyDescent="0.2">
      <c r="A53" s="143">
        <f t="shared" si="0"/>
        <v>46</v>
      </c>
      <c r="B53" s="187" t="s">
        <v>365</v>
      </c>
      <c r="C53" s="151" t="s">
        <v>663</v>
      </c>
      <c r="D53" s="128" t="s">
        <v>16</v>
      </c>
      <c r="E53" s="128"/>
      <c r="F53" s="128" t="s">
        <v>238</v>
      </c>
      <c r="G53" s="128">
        <v>1</v>
      </c>
      <c r="H53" s="128"/>
      <c r="I53" s="129" t="s">
        <v>19</v>
      </c>
      <c r="J53" s="128"/>
      <c r="K53" s="128"/>
      <c r="L53" s="151"/>
      <c r="M53" s="129"/>
      <c r="N53" s="151"/>
      <c r="O53" s="131"/>
      <c r="P53" s="130"/>
      <c r="Q53" s="164" t="s">
        <v>645</v>
      </c>
    </row>
    <row r="54" spans="1:17" ht="25.5" x14ac:dyDescent="0.2">
      <c r="A54" s="143">
        <f t="shared" si="0"/>
        <v>47</v>
      </c>
      <c r="B54" s="187" t="s">
        <v>366</v>
      </c>
      <c r="C54" s="151" t="s">
        <v>685</v>
      </c>
      <c r="D54" s="128" t="s">
        <v>16</v>
      </c>
      <c r="E54" s="128"/>
      <c r="F54" s="128" t="s">
        <v>238</v>
      </c>
      <c r="G54" s="128">
        <v>1</v>
      </c>
      <c r="H54" s="128"/>
      <c r="I54" s="129" t="s">
        <v>19</v>
      </c>
      <c r="J54" s="128"/>
      <c r="K54" s="128"/>
      <c r="L54" s="151"/>
      <c r="M54" s="129"/>
      <c r="N54" s="151"/>
      <c r="O54" s="131"/>
      <c r="P54" s="131" t="s">
        <v>272</v>
      </c>
      <c r="Q54" s="164"/>
    </row>
    <row r="55" spans="1:17" ht="25.5" x14ac:dyDescent="0.2">
      <c r="A55" s="143">
        <f t="shared" si="0"/>
        <v>48</v>
      </c>
      <c r="B55" s="187" t="s">
        <v>371</v>
      </c>
      <c r="C55" s="151" t="s">
        <v>661</v>
      </c>
      <c r="D55" s="128" t="s">
        <v>16</v>
      </c>
      <c r="E55" s="128"/>
      <c r="F55" s="128" t="s">
        <v>238</v>
      </c>
      <c r="G55" s="128">
        <v>1</v>
      </c>
      <c r="H55" s="128"/>
      <c r="I55" s="129" t="s">
        <v>19</v>
      </c>
      <c r="J55" s="128"/>
      <c r="K55" s="128"/>
      <c r="L55" s="151"/>
      <c r="M55" s="129"/>
      <c r="N55" s="151"/>
      <c r="O55" s="131"/>
      <c r="P55" s="131" t="s">
        <v>341</v>
      </c>
      <c r="Q55" s="164"/>
    </row>
    <row r="56" spans="1:17" ht="25.5" x14ac:dyDescent="0.2">
      <c r="A56" s="143">
        <f t="shared" si="0"/>
        <v>49</v>
      </c>
      <c r="B56" s="187" t="s">
        <v>406</v>
      </c>
      <c r="C56" s="151" t="s">
        <v>754</v>
      </c>
      <c r="D56" s="128" t="s">
        <v>16</v>
      </c>
      <c r="E56" s="128"/>
      <c r="F56" s="128" t="s">
        <v>238</v>
      </c>
      <c r="G56" s="128">
        <v>1</v>
      </c>
      <c r="H56" s="128"/>
      <c r="I56" s="129" t="s">
        <v>19</v>
      </c>
      <c r="J56" s="128"/>
      <c r="K56" s="128"/>
      <c r="L56" s="151"/>
      <c r="M56" s="129"/>
      <c r="N56" s="151"/>
      <c r="O56" s="131"/>
      <c r="P56" s="131" t="s">
        <v>354</v>
      </c>
      <c r="Q56" s="164"/>
    </row>
    <row r="57" spans="1:17" ht="25.5" x14ac:dyDescent="0.2">
      <c r="A57" s="143">
        <f t="shared" si="0"/>
        <v>50</v>
      </c>
      <c r="B57" s="187" t="s">
        <v>407</v>
      </c>
      <c r="C57" s="151" t="s">
        <v>364</v>
      </c>
      <c r="D57" s="128" t="s">
        <v>16</v>
      </c>
      <c r="E57" s="128"/>
      <c r="F57" s="128" t="s">
        <v>238</v>
      </c>
      <c r="G57" s="128">
        <v>1</v>
      </c>
      <c r="H57" s="128"/>
      <c r="I57" s="129" t="s">
        <v>19</v>
      </c>
      <c r="J57" s="128"/>
      <c r="K57" s="128"/>
      <c r="L57" s="151"/>
      <c r="M57" s="129"/>
      <c r="N57" s="151"/>
      <c r="O57" s="131"/>
      <c r="P57" s="131" t="s">
        <v>372</v>
      </c>
      <c r="Q57" s="164"/>
    </row>
    <row r="58" spans="1:17" ht="25.5" x14ac:dyDescent="0.2">
      <c r="A58" s="143">
        <f t="shared" si="0"/>
        <v>51</v>
      </c>
      <c r="B58" s="187" t="s">
        <v>408</v>
      </c>
      <c r="C58" s="151" t="s">
        <v>373</v>
      </c>
      <c r="D58" s="128" t="s">
        <v>16</v>
      </c>
      <c r="E58" s="128"/>
      <c r="F58" s="128" t="s">
        <v>238</v>
      </c>
      <c r="G58" s="128">
        <v>1</v>
      </c>
      <c r="H58" s="128"/>
      <c r="I58" s="129" t="s">
        <v>19</v>
      </c>
      <c r="J58" s="128"/>
      <c r="K58" s="128"/>
      <c r="L58" s="151"/>
      <c r="M58" s="129"/>
      <c r="N58" s="151"/>
      <c r="O58" s="131"/>
      <c r="P58" s="131" t="s">
        <v>372</v>
      </c>
      <c r="Q58" s="164"/>
    </row>
    <row r="59" spans="1:17" ht="140.25" x14ac:dyDescent="0.2">
      <c r="A59" s="143">
        <f t="shared" si="0"/>
        <v>52</v>
      </c>
      <c r="B59" s="187" t="s">
        <v>713</v>
      </c>
      <c r="C59" s="151" t="s">
        <v>920</v>
      </c>
      <c r="D59" s="128" t="s">
        <v>16</v>
      </c>
      <c r="E59" s="128"/>
      <c r="F59" s="128" t="s">
        <v>914</v>
      </c>
      <c r="G59" s="128">
        <v>1</v>
      </c>
      <c r="H59" s="129" t="s">
        <v>110</v>
      </c>
      <c r="I59" s="129" t="s">
        <v>900</v>
      </c>
      <c r="J59" s="128"/>
      <c r="K59" s="128"/>
      <c r="L59" s="151"/>
      <c r="M59" s="129"/>
      <c r="N59" s="151"/>
      <c r="O59" s="131"/>
      <c r="P59" s="130" t="s">
        <v>162</v>
      </c>
      <c r="Q59" s="164" t="s">
        <v>921</v>
      </c>
    </row>
    <row r="60" spans="1:17" ht="140.25" x14ac:dyDescent="0.2">
      <c r="A60" s="143">
        <f t="shared" si="0"/>
        <v>53</v>
      </c>
      <c r="B60" s="187" t="s">
        <v>409</v>
      </c>
      <c r="C60" s="151" t="s">
        <v>1072</v>
      </c>
      <c r="D60" s="128" t="s">
        <v>16</v>
      </c>
      <c r="E60" s="128"/>
      <c r="F60" s="128" t="s">
        <v>1015</v>
      </c>
      <c r="G60" s="128">
        <v>1</v>
      </c>
      <c r="H60" s="129" t="s">
        <v>110</v>
      </c>
      <c r="I60" s="129" t="s">
        <v>110</v>
      </c>
      <c r="J60" s="128"/>
      <c r="K60" s="128"/>
      <c r="L60" s="151"/>
      <c r="M60" s="129"/>
      <c r="N60" s="151"/>
      <c r="O60" s="131"/>
      <c r="P60" s="130" t="s">
        <v>1074</v>
      </c>
      <c r="Q60" s="166" t="s">
        <v>1073</v>
      </c>
    </row>
    <row r="61" spans="1:17" ht="165.75" x14ac:dyDescent="0.2">
      <c r="A61" s="143">
        <f t="shared" si="0"/>
        <v>54</v>
      </c>
      <c r="B61" s="187" t="s">
        <v>410</v>
      </c>
      <c r="C61" s="151" t="s">
        <v>949</v>
      </c>
      <c r="D61" s="128" t="s">
        <v>16</v>
      </c>
      <c r="E61" s="128"/>
      <c r="F61" s="128" t="s">
        <v>914</v>
      </c>
      <c r="G61" s="128">
        <v>1</v>
      </c>
      <c r="H61" s="129"/>
      <c r="I61" s="129" t="s">
        <v>900</v>
      </c>
      <c r="J61" s="128"/>
      <c r="K61" s="128"/>
      <c r="L61" s="151"/>
      <c r="M61" s="129"/>
      <c r="N61" s="151"/>
      <c r="O61" s="131"/>
      <c r="P61" s="130" t="s">
        <v>908</v>
      </c>
      <c r="Q61" s="164" t="s">
        <v>996</v>
      </c>
    </row>
    <row r="62" spans="1:17" ht="25.5" x14ac:dyDescent="0.2">
      <c r="A62" s="143">
        <f t="shared" si="0"/>
        <v>55</v>
      </c>
      <c r="B62" s="187" t="s">
        <v>411</v>
      </c>
      <c r="C62" s="151" t="s">
        <v>978</v>
      </c>
      <c r="D62" s="128" t="s">
        <v>16</v>
      </c>
      <c r="E62" s="128"/>
      <c r="F62" s="128" t="s">
        <v>914</v>
      </c>
      <c r="G62" s="128">
        <v>1</v>
      </c>
      <c r="H62" s="129" t="s">
        <v>110</v>
      </c>
      <c r="I62" s="129" t="s">
        <v>900</v>
      </c>
      <c r="J62" s="128"/>
      <c r="K62" s="128"/>
      <c r="L62" s="151"/>
      <c r="M62" s="129"/>
      <c r="N62" s="151"/>
      <c r="O62" s="131"/>
      <c r="P62" s="130" t="s">
        <v>357</v>
      </c>
      <c r="Q62" s="164" t="s">
        <v>979</v>
      </c>
    </row>
    <row r="63" spans="1:17" ht="25.5" x14ac:dyDescent="0.2">
      <c r="A63" s="143">
        <f t="shared" si="0"/>
        <v>56</v>
      </c>
      <c r="B63" s="187" t="s">
        <v>412</v>
      </c>
      <c r="C63" s="151" t="s">
        <v>1012</v>
      </c>
      <c r="D63" s="128" t="s">
        <v>16</v>
      </c>
      <c r="E63" s="128"/>
      <c r="F63" s="128" t="s">
        <v>238</v>
      </c>
      <c r="G63" s="128">
        <v>1</v>
      </c>
      <c r="H63" s="129" t="s">
        <v>110</v>
      </c>
      <c r="I63" s="129" t="s">
        <v>19</v>
      </c>
      <c r="J63" s="128"/>
      <c r="K63" s="128"/>
      <c r="L63" s="151"/>
      <c r="M63" s="129"/>
      <c r="N63" s="151"/>
      <c r="O63" s="131"/>
      <c r="P63" s="130" t="s">
        <v>357</v>
      </c>
      <c r="Q63" s="164"/>
    </row>
    <row r="64" spans="1:17" ht="25.5" x14ac:dyDescent="0.2">
      <c r="A64" s="143">
        <f t="shared" si="0"/>
        <v>57</v>
      </c>
      <c r="B64" s="187" t="s">
        <v>413</v>
      </c>
      <c r="C64" s="151" t="s">
        <v>437</v>
      </c>
      <c r="D64" s="128" t="s">
        <v>16</v>
      </c>
      <c r="E64" s="128"/>
      <c r="F64" s="128" t="s">
        <v>238</v>
      </c>
      <c r="G64" s="128">
        <v>1</v>
      </c>
      <c r="H64" s="129" t="s">
        <v>110</v>
      </c>
      <c r="I64" s="129" t="s">
        <v>19</v>
      </c>
      <c r="J64" s="128"/>
      <c r="K64" s="128"/>
      <c r="L64" s="151"/>
      <c r="M64" s="129"/>
      <c r="N64" s="151"/>
      <c r="O64" s="131"/>
      <c r="P64" s="130" t="s">
        <v>161</v>
      </c>
      <c r="Q64" s="164"/>
    </row>
    <row r="65" spans="1:17" ht="38.25" x14ac:dyDescent="0.2">
      <c r="A65" s="143">
        <f t="shared" si="0"/>
        <v>58</v>
      </c>
      <c r="B65" s="187" t="s">
        <v>438</v>
      </c>
      <c r="C65" s="151" t="s">
        <v>686</v>
      </c>
      <c r="D65" s="128" t="s">
        <v>16</v>
      </c>
      <c r="E65" s="128"/>
      <c r="F65" s="128" t="s">
        <v>238</v>
      </c>
      <c r="G65" s="128">
        <v>1</v>
      </c>
      <c r="H65" s="129" t="s">
        <v>110</v>
      </c>
      <c r="I65" s="129" t="s">
        <v>19</v>
      </c>
      <c r="J65" s="128"/>
      <c r="K65" s="128"/>
      <c r="L65" s="151"/>
      <c r="M65" s="129"/>
      <c r="N65" s="151"/>
      <c r="O65" s="131"/>
      <c r="P65" s="130" t="s">
        <v>357</v>
      </c>
      <c r="Q65" s="164"/>
    </row>
    <row r="66" spans="1:17" ht="89.25" x14ac:dyDescent="0.2">
      <c r="A66" s="143">
        <f t="shared" si="0"/>
        <v>59</v>
      </c>
      <c r="B66" s="187" t="s">
        <v>440</v>
      </c>
      <c r="C66" s="151" t="s">
        <v>700</v>
      </c>
      <c r="D66" s="128" t="s">
        <v>16</v>
      </c>
      <c r="E66" s="128"/>
      <c r="F66" s="128" t="s">
        <v>238</v>
      </c>
      <c r="G66" s="128">
        <v>1</v>
      </c>
      <c r="H66" s="129" t="s">
        <v>110</v>
      </c>
      <c r="I66" s="129" t="s">
        <v>19</v>
      </c>
      <c r="J66" s="128"/>
      <c r="K66" s="128"/>
      <c r="L66" s="151"/>
      <c r="M66" s="129"/>
      <c r="N66" s="151"/>
      <c r="O66" s="131"/>
      <c r="P66" s="130" t="s">
        <v>161</v>
      </c>
      <c r="Q66" s="164" t="s">
        <v>699</v>
      </c>
    </row>
    <row r="67" spans="1:17" ht="25.5" x14ac:dyDescent="0.2">
      <c r="A67" s="143">
        <f t="shared" si="0"/>
        <v>60</v>
      </c>
      <c r="B67" s="187" t="s">
        <v>442</v>
      </c>
      <c r="C67" s="151" t="s">
        <v>687</v>
      </c>
      <c r="D67" s="128" t="s">
        <v>16</v>
      </c>
      <c r="E67" s="128"/>
      <c r="F67" s="128" t="s">
        <v>238</v>
      </c>
      <c r="G67" s="128">
        <v>1</v>
      </c>
      <c r="H67" s="129" t="s">
        <v>110</v>
      </c>
      <c r="I67" s="129" t="s">
        <v>19</v>
      </c>
      <c r="J67" s="128"/>
      <c r="K67" s="128"/>
      <c r="L67" s="151"/>
      <c r="M67" s="129"/>
      <c r="N67" s="151"/>
      <c r="O67" s="131"/>
      <c r="P67" s="130" t="s">
        <v>161</v>
      </c>
      <c r="Q67" s="164"/>
    </row>
    <row r="68" spans="1:17" ht="25.5" x14ac:dyDescent="0.2">
      <c r="A68" s="143">
        <f t="shared" si="0"/>
        <v>61</v>
      </c>
      <c r="B68" s="187" t="s">
        <v>443</v>
      </c>
      <c r="C68" s="151" t="s">
        <v>439</v>
      </c>
      <c r="D68" s="128" t="s">
        <v>16</v>
      </c>
      <c r="E68" s="128"/>
      <c r="F68" s="128" t="s">
        <v>238</v>
      </c>
      <c r="G68" s="128">
        <v>1</v>
      </c>
      <c r="H68" s="129" t="s">
        <v>110</v>
      </c>
      <c r="I68" s="129" t="s">
        <v>19</v>
      </c>
      <c r="J68" s="128"/>
      <c r="K68" s="128"/>
      <c r="L68" s="151"/>
      <c r="M68" s="129"/>
      <c r="N68" s="151"/>
      <c r="O68" s="131"/>
      <c r="P68" s="130" t="s">
        <v>357</v>
      </c>
      <c r="Q68" s="164"/>
    </row>
    <row r="69" spans="1:17" x14ac:dyDescent="0.2">
      <c r="A69" s="143">
        <f t="shared" si="0"/>
        <v>62</v>
      </c>
      <c r="B69" s="187" t="s">
        <v>444</v>
      </c>
      <c r="C69" s="151" t="s">
        <v>154</v>
      </c>
      <c r="D69" s="128" t="s">
        <v>16</v>
      </c>
      <c r="E69" s="128"/>
      <c r="F69" s="128" t="s">
        <v>238</v>
      </c>
      <c r="G69" s="128">
        <v>1</v>
      </c>
      <c r="H69" s="129" t="s">
        <v>110</v>
      </c>
      <c r="I69" s="129" t="s">
        <v>19</v>
      </c>
      <c r="J69" s="128"/>
      <c r="K69" s="128"/>
      <c r="L69" s="151"/>
      <c r="M69" s="129"/>
      <c r="N69" s="151"/>
      <c r="O69" s="131"/>
      <c r="P69" s="130" t="s">
        <v>259</v>
      </c>
      <c r="Q69" s="164"/>
    </row>
    <row r="70" spans="1:17" x14ac:dyDescent="0.2">
      <c r="A70" s="143">
        <f t="shared" si="0"/>
        <v>63</v>
      </c>
      <c r="B70" s="187" t="s">
        <v>567</v>
      </c>
      <c r="C70" s="151" t="s">
        <v>673</v>
      </c>
      <c r="D70" s="128" t="s">
        <v>16</v>
      </c>
      <c r="E70" s="128"/>
      <c r="F70" s="128" t="s">
        <v>238</v>
      </c>
      <c r="G70" s="128">
        <v>1</v>
      </c>
      <c r="H70" s="129" t="s">
        <v>110</v>
      </c>
      <c r="I70" s="129" t="s">
        <v>19</v>
      </c>
      <c r="J70" s="128"/>
      <c r="K70" s="128"/>
      <c r="L70" s="151"/>
      <c r="M70" s="129"/>
      <c r="N70" s="151"/>
      <c r="O70" s="131"/>
      <c r="P70" s="130" t="s">
        <v>259</v>
      </c>
      <c r="Q70" s="164"/>
    </row>
    <row r="71" spans="1:17" ht="25.5" x14ac:dyDescent="0.2">
      <c r="A71" s="143">
        <f t="shared" si="0"/>
        <v>64</v>
      </c>
      <c r="B71" s="187" t="s">
        <v>568</v>
      </c>
      <c r="C71" s="151" t="s">
        <v>804</v>
      </c>
      <c r="D71" s="128" t="s">
        <v>16</v>
      </c>
      <c r="E71" s="128"/>
      <c r="F71" s="128" t="s">
        <v>238</v>
      </c>
      <c r="G71" s="128">
        <v>1</v>
      </c>
      <c r="H71" s="128"/>
      <c r="I71" s="129" t="s">
        <v>19</v>
      </c>
      <c r="J71" s="128"/>
      <c r="K71" s="128"/>
      <c r="L71" s="151"/>
      <c r="M71" s="129"/>
      <c r="N71" s="151"/>
      <c r="O71" s="131"/>
      <c r="P71" s="130" t="s">
        <v>355</v>
      </c>
      <c r="Q71" s="164"/>
    </row>
    <row r="72" spans="1:17" ht="51" x14ac:dyDescent="0.2">
      <c r="A72" s="143">
        <f t="shared" si="0"/>
        <v>65</v>
      </c>
      <c r="B72" s="187" t="s">
        <v>569</v>
      </c>
      <c r="C72" s="151" t="s">
        <v>166</v>
      </c>
      <c r="D72" s="128" t="s">
        <v>16</v>
      </c>
      <c r="E72" s="128"/>
      <c r="F72" s="128" t="s">
        <v>238</v>
      </c>
      <c r="G72" s="128">
        <v>1</v>
      </c>
      <c r="H72" s="128"/>
      <c r="I72" s="129" t="s">
        <v>19</v>
      </c>
      <c r="J72" s="128"/>
      <c r="K72" s="128"/>
      <c r="L72" s="151"/>
      <c r="M72" s="129"/>
      <c r="N72" s="151"/>
      <c r="O72" s="131"/>
      <c r="P72" s="130" t="s">
        <v>355</v>
      </c>
      <c r="Q72" s="164"/>
    </row>
    <row r="73" spans="1:17" ht="25.5" x14ac:dyDescent="0.2">
      <c r="A73" s="143">
        <f t="shared" si="0"/>
        <v>66</v>
      </c>
      <c r="B73" s="187" t="s">
        <v>570</v>
      </c>
      <c r="C73" s="151" t="s">
        <v>167</v>
      </c>
      <c r="D73" s="128" t="s">
        <v>16</v>
      </c>
      <c r="E73" s="128"/>
      <c r="F73" s="128" t="s">
        <v>238</v>
      </c>
      <c r="G73" s="128">
        <v>1</v>
      </c>
      <c r="H73" s="128"/>
      <c r="I73" s="129" t="s">
        <v>19</v>
      </c>
      <c r="J73" s="128"/>
      <c r="K73" s="128"/>
      <c r="L73" s="151"/>
      <c r="M73" s="129"/>
      <c r="N73" s="151"/>
      <c r="O73" s="131"/>
      <c r="P73" s="130" t="s">
        <v>355</v>
      </c>
      <c r="Q73" s="164"/>
    </row>
    <row r="74" spans="1:17" ht="25.5" x14ac:dyDescent="0.2">
      <c r="A74" s="143">
        <f t="shared" si="0"/>
        <v>67</v>
      </c>
      <c r="B74" s="187" t="s">
        <v>571</v>
      </c>
      <c r="C74" s="151" t="s">
        <v>756</v>
      </c>
      <c r="D74" s="128" t="s">
        <v>16</v>
      </c>
      <c r="E74" s="128"/>
      <c r="F74" s="128" t="s">
        <v>238</v>
      </c>
      <c r="G74" s="128">
        <v>1</v>
      </c>
      <c r="H74" s="128"/>
      <c r="I74" s="129" t="s">
        <v>19</v>
      </c>
      <c r="J74" s="128"/>
      <c r="K74" s="128"/>
      <c r="L74" s="151"/>
      <c r="M74" s="129"/>
      <c r="N74" s="151"/>
      <c r="O74" s="131"/>
      <c r="P74" s="130" t="s">
        <v>355</v>
      </c>
      <c r="Q74" s="164"/>
    </row>
    <row r="75" spans="1:17" ht="38.25" x14ac:dyDescent="0.2">
      <c r="A75" s="143">
        <f t="shared" si="0"/>
        <v>68</v>
      </c>
      <c r="B75" s="187" t="s">
        <v>572</v>
      </c>
      <c r="C75" s="102" t="s">
        <v>757</v>
      </c>
      <c r="D75" s="128" t="s">
        <v>16</v>
      </c>
      <c r="E75" s="128"/>
      <c r="F75" s="128" t="s">
        <v>238</v>
      </c>
      <c r="G75" s="128">
        <v>1</v>
      </c>
      <c r="H75" s="128"/>
      <c r="I75" s="129" t="s">
        <v>19</v>
      </c>
      <c r="J75" s="128"/>
      <c r="K75" s="128"/>
      <c r="L75" s="151"/>
      <c r="M75" s="129"/>
      <c r="N75" s="151"/>
      <c r="O75" s="131"/>
      <c r="P75" s="130" t="s">
        <v>377</v>
      </c>
      <c r="Q75" s="164"/>
    </row>
    <row r="76" spans="1:17" ht="63.75" x14ac:dyDescent="0.2">
      <c r="A76" s="143">
        <f t="shared" si="0"/>
        <v>69</v>
      </c>
      <c r="B76" s="187" t="s">
        <v>573</v>
      </c>
      <c r="C76" s="151" t="s">
        <v>168</v>
      </c>
      <c r="D76" s="128" t="s">
        <v>16</v>
      </c>
      <c r="E76" s="128"/>
      <c r="F76" s="128" t="s">
        <v>238</v>
      </c>
      <c r="G76" s="128">
        <v>1</v>
      </c>
      <c r="H76" s="128"/>
      <c r="I76" s="129" t="s">
        <v>19</v>
      </c>
      <c r="J76" s="128"/>
      <c r="K76" s="128"/>
      <c r="L76" s="151"/>
      <c r="M76" s="129"/>
      <c r="N76" s="151"/>
      <c r="O76" s="131"/>
      <c r="P76" s="130" t="s">
        <v>377</v>
      </c>
      <c r="Q76" s="164"/>
    </row>
    <row r="77" spans="1:17" ht="25.5" x14ac:dyDescent="0.2">
      <c r="A77" s="143">
        <f t="shared" si="0"/>
        <v>70</v>
      </c>
      <c r="B77" s="187" t="s">
        <v>574</v>
      </c>
      <c r="C77" s="151" t="s">
        <v>819</v>
      </c>
      <c r="D77" s="128" t="s">
        <v>16</v>
      </c>
      <c r="E77" s="128"/>
      <c r="F77" s="128" t="s">
        <v>238</v>
      </c>
      <c r="G77" s="128">
        <v>1</v>
      </c>
      <c r="H77" s="128"/>
      <c r="I77" s="129" t="s">
        <v>19</v>
      </c>
      <c r="J77" s="128"/>
      <c r="K77" s="128"/>
      <c r="L77" s="151"/>
      <c r="M77" s="129"/>
      <c r="N77" s="151"/>
      <c r="O77" s="131"/>
      <c r="P77" s="130" t="s">
        <v>376</v>
      </c>
      <c r="Q77" s="164"/>
    </row>
    <row r="78" spans="1:17" x14ac:dyDescent="0.2">
      <c r="A78" s="143">
        <f t="shared" si="0"/>
        <v>71</v>
      </c>
      <c r="B78" s="187" t="s">
        <v>575</v>
      </c>
      <c r="C78" s="151" t="s">
        <v>169</v>
      </c>
      <c r="D78" s="128" t="s">
        <v>16</v>
      </c>
      <c r="E78" s="128"/>
      <c r="F78" s="128" t="s">
        <v>238</v>
      </c>
      <c r="G78" s="128">
        <v>1</v>
      </c>
      <c r="H78" s="128"/>
      <c r="I78" s="129" t="s">
        <v>19</v>
      </c>
      <c r="J78" s="128"/>
      <c r="K78" s="128"/>
      <c r="L78" s="151"/>
      <c r="M78" s="129"/>
      <c r="N78" s="151"/>
      <c r="O78" s="131"/>
      <c r="P78" s="130" t="s">
        <v>356</v>
      </c>
      <c r="Q78" s="164"/>
    </row>
    <row r="79" spans="1:17" ht="25.5" x14ac:dyDescent="0.2">
      <c r="A79" s="143">
        <f t="shared" si="0"/>
        <v>72</v>
      </c>
      <c r="B79" s="187" t="s">
        <v>576</v>
      </c>
      <c r="C79" s="151" t="s">
        <v>671</v>
      </c>
      <c r="D79" s="128" t="s">
        <v>16</v>
      </c>
      <c r="E79" s="128"/>
      <c r="F79" s="128" t="s">
        <v>238</v>
      </c>
      <c r="G79" s="128">
        <v>1</v>
      </c>
      <c r="H79" s="128"/>
      <c r="I79" s="129" t="s">
        <v>19</v>
      </c>
      <c r="J79" s="128"/>
      <c r="K79" s="128"/>
      <c r="L79" s="151"/>
      <c r="M79" s="129"/>
      <c r="N79" s="151"/>
      <c r="O79" s="131"/>
      <c r="P79" s="130" t="s">
        <v>367</v>
      </c>
      <c r="Q79" s="164" t="s">
        <v>670</v>
      </c>
    </row>
    <row r="80" spans="1:17" ht="25.5" x14ac:dyDescent="0.2">
      <c r="A80" s="143">
        <f t="shared" si="0"/>
        <v>73</v>
      </c>
      <c r="B80" s="187" t="s">
        <v>577</v>
      </c>
      <c r="C80" s="151" t="s">
        <v>669</v>
      </c>
      <c r="D80" s="128" t="s">
        <v>16</v>
      </c>
      <c r="E80" s="128"/>
      <c r="F80" s="128" t="s">
        <v>238</v>
      </c>
      <c r="G80" s="128">
        <v>1</v>
      </c>
      <c r="H80" s="128"/>
      <c r="I80" s="129" t="s">
        <v>19</v>
      </c>
      <c r="J80" s="128"/>
      <c r="K80" s="128"/>
      <c r="L80" s="151"/>
      <c r="M80" s="129"/>
      <c r="N80" s="151"/>
      <c r="O80" s="131"/>
      <c r="P80" s="130" t="s">
        <v>367</v>
      </c>
      <c r="Q80" s="164" t="s">
        <v>670</v>
      </c>
    </row>
    <row r="81" spans="1:17" ht="51" x14ac:dyDescent="0.2">
      <c r="A81" s="143">
        <f t="shared" si="0"/>
        <v>74</v>
      </c>
      <c r="B81" s="187" t="s">
        <v>578</v>
      </c>
      <c r="C81" s="151" t="s">
        <v>820</v>
      </c>
      <c r="D81" s="128" t="s">
        <v>16</v>
      </c>
      <c r="E81" s="128"/>
      <c r="F81" s="128" t="s">
        <v>238</v>
      </c>
      <c r="G81" s="128">
        <v>1</v>
      </c>
      <c r="H81" s="128"/>
      <c r="I81" s="129" t="s">
        <v>19</v>
      </c>
      <c r="J81" s="128"/>
      <c r="K81" s="128"/>
      <c r="L81" s="151"/>
      <c r="M81" s="129"/>
      <c r="N81" s="151"/>
      <c r="O81" s="131"/>
      <c r="P81" s="130" t="s">
        <v>367</v>
      </c>
      <c r="Q81" s="164"/>
    </row>
    <row r="82" spans="1:17" x14ac:dyDescent="0.2">
      <c r="A82" s="143">
        <f t="shared" si="0"/>
        <v>75</v>
      </c>
      <c r="B82" s="187" t="s">
        <v>579</v>
      </c>
      <c r="C82" s="151" t="s">
        <v>170</v>
      </c>
      <c r="D82" s="128" t="s">
        <v>16</v>
      </c>
      <c r="E82" s="128"/>
      <c r="F82" s="128" t="s">
        <v>238</v>
      </c>
      <c r="G82" s="128">
        <v>1</v>
      </c>
      <c r="H82" s="128"/>
      <c r="I82" s="129" t="s">
        <v>19</v>
      </c>
      <c r="J82" s="128"/>
      <c r="K82" s="128"/>
      <c r="L82" s="151"/>
      <c r="M82" s="129"/>
      <c r="N82" s="151"/>
      <c r="O82" s="131"/>
      <c r="P82" s="130" t="s">
        <v>353</v>
      </c>
      <c r="Q82" s="164"/>
    </row>
    <row r="83" spans="1:17" ht="51" x14ac:dyDescent="0.2">
      <c r="A83" s="143">
        <f t="shared" si="0"/>
        <v>76</v>
      </c>
      <c r="B83" s="187" t="s">
        <v>580</v>
      </c>
      <c r="C83" s="151" t="s">
        <v>950</v>
      </c>
      <c r="D83" s="128" t="s">
        <v>16</v>
      </c>
      <c r="E83" s="128"/>
      <c r="F83" s="128" t="s">
        <v>914</v>
      </c>
      <c r="G83" s="128">
        <v>1</v>
      </c>
      <c r="H83" s="128"/>
      <c r="I83" s="129" t="s">
        <v>900</v>
      </c>
      <c r="J83" s="128"/>
      <c r="K83" s="128"/>
      <c r="L83" s="151"/>
      <c r="M83" s="129"/>
      <c r="N83" s="151"/>
      <c r="O83" s="131"/>
      <c r="P83" s="130" t="s">
        <v>352</v>
      </c>
      <c r="Q83" s="164" t="s">
        <v>951</v>
      </c>
    </row>
    <row r="84" spans="1:17" ht="25.5" x14ac:dyDescent="0.2">
      <c r="A84" s="143">
        <f t="shared" si="0"/>
        <v>77</v>
      </c>
      <c r="B84" s="187" t="s">
        <v>631</v>
      </c>
      <c r="C84" s="151" t="s">
        <v>171</v>
      </c>
      <c r="D84" s="128" t="s">
        <v>16</v>
      </c>
      <c r="E84" s="128"/>
      <c r="F84" s="128" t="s">
        <v>238</v>
      </c>
      <c r="G84" s="128">
        <v>1</v>
      </c>
      <c r="H84" s="128"/>
      <c r="I84" s="129" t="s">
        <v>19</v>
      </c>
      <c r="J84" s="128"/>
      <c r="K84" s="128"/>
      <c r="L84" s="151"/>
      <c r="M84" s="129"/>
      <c r="N84" s="151"/>
      <c r="O84" s="131"/>
      <c r="P84" s="130" t="s">
        <v>352</v>
      </c>
      <c r="Q84" s="164"/>
    </row>
    <row r="85" spans="1:17" ht="38.25" x14ac:dyDescent="0.2">
      <c r="A85" s="143">
        <f t="shared" si="0"/>
        <v>78</v>
      </c>
      <c r="B85" s="187" t="s">
        <v>646</v>
      </c>
      <c r="C85" s="151" t="s">
        <v>755</v>
      </c>
      <c r="D85" s="128" t="s">
        <v>16</v>
      </c>
      <c r="E85" s="128"/>
      <c r="F85" s="128" t="s">
        <v>238</v>
      </c>
      <c r="G85" s="128">
        <v>1</v>
      </c>
      <c r="H85" s="128"/>
      <c r="I85" s="129" t="s">
        <v>19</v>
      </c>
      <c r="J85" s="128"/>
      <c r="K85" s="128"/>
      <c r="L85" s="151"/>
      <c r="M85" s="129"/>
      <c r="N85" s="151"/>
      <c r="O85" s="131"/>
      <c r="P85" s="130" t="s">
        <v>909</v>
      </c>
      <c r="Q85" s="164" t="s">
        <v>670</v>
      </c>
    </row>
    <row r="86" spans="1:17" ht="89.25" x14ac:dyDescent="0.2">
      <c r="A86" s="143">
        <f t="shared" si="0"/>
        <v>79</v>
      </c>
      <c r="B86" s="187" t="s">
        <v>775</v>
      </c>
      <c r="C86" s="202" t="s">
        <v>630</v>
      </c>
      <c r="D86" s="203" t="s">
        <v>16</v>
      </c>
      <c r="E86" s="203"/>
      <c r="F86" s="203" t="s">
        <v>238</v>
      </c>
      <c r="G86" s="203">
        <v>1</v>
      </c>
      <c r="H86" s="203"/>
      <c r="I86" s="204" t="s">
        <v>19</v>
      </c>
      <c r="J86" s="203"/>
      <c r="K86" s="203"/>
      <c r="L86" s="202"/>
      <c r="M86" s="204"/>
      <c r="N86" s="202"/>
      <c r="O86" s="203"/>
      <c r="P86" s="204" t="s">
        <v>903</v>
      </c>
      <c r="Q86" s="164"/>
    </row>
    <row r="87" spans="1:17" ht="38.25" x14ac:dyDescent="0.2">
      <c r="A87" s="143">
        <f>A86+1</f>
        <v>80</v>
      </c>
      <c r="B87" s="187" t="s">
        <v>794</v>
      </c>
      <c r="C87" s="202" t="s">
        <v>795</v>
      </c>
      <c r="D87" s="203" t="s">
        <v>16</v>
      </c>
      <c r="E87" s="203"/>
      <c r="F87" s="203" t="s">
        <v>238</v>
      </c>
      <c r="G87" s="203">
        <v>1</v>
      </c>
      <c r="H87" s="129"/>
      <c r="I87" s="204" t="s">
        <v>19</v>
      </c>
      <c r="J87" s="128"/>
      <c r="K87" s="128"/>
      <c r="L87" s="151"/>
      <c r="M87" s="129"/>
      <c r="N87" s="151"/>
      <c r="O87" s="131"/>
      <c r="P87" s="204" t="s">
        <v>903</v>
      </c>
      <c r="Q87" s="164"/>
    </row>
    <row r="88" spans="1:17" ht="140.25" x14ac:dyDescent="0.2">
      <c r="A88" s="143">
        <f>A87+1</f>
        <v>81</v>
      </c>
      <c r="B88" s="187" t="s">
        <v>415</v>
      </c>
      <c r="C88" s="151" t="s">
        <v>805</v>
      </c>
      <c r="D88" s="128" t="s">
        <v>16</v>
      </c>
      <c r="E88" s="128"/>
      <c r="F88" s="128" t="s">
        <v>238</v>
      </c>
      <c r="G88" s="128">
        <v>1</v>
      </c>
      <c r="H88" s="129" t="s">
        <v>110</v>
      </c>
      <c r="I88" s="129" t="s">
        <v>19</v>
      </c>
      <c r="J88" s="128"/>
      <c r="K88" s="128"/>
      <c r="L88" s="151"/>
      <c r="M88" s="129"/>
      <c r="N88" s="151"/>
      <c r="O88" s="131"/>
      <c r="P88" s="130" t="s">
        <v>677</v>
      </c>
      <c r="Q88" s="164" t="s">
        <v>414</v>
      </c>
    </row>
    <row r="89" spans="1:17" ht="51" x14ac:dyDescent="0.2">
      <c r="A89" s="143">
        <f>A88+1</f>
        <v>82</v>
      </c>
      <c r="B89" s="187" t="s">
        <v>674</v>
      </c>
      <c r="C89" s="151" t="s">
        <v>701</v>
      </c>
      <c r="D89" s="128" t="s">
        <v>16</v>
      </c>
      <c r="E89" s="128"/>
      <c r="F89" s="128" t="s">
        <v>238</v>
      </c>
      <c r="G89" s="128">
        <v>1</v>
      </c>
      <c r="H89" s="128"/>
      <c r="I89" s="129" t="s">
        <v>19</v>
      </c>
      <c r="J89" s="128"/>
      <c r="K89" s="128"/>
      <c r="L89" s="151"/>
      <c r="M89" s="129"/>
      <c r="N89" s="151"/>
      <c r="O89" s="131"/>
      <c r="P89" s="130" t="s">
        <v>677</v>
      </c>
      <c r="Q89" s="164"/>
    </row>
    <row r="90" spans="1:17" ht="63.75" x14ac:dyDescent="0.2">
      <c r="A90" s="143">
        <f t="shared" si="0"/>
        <v>83</v>
      </c>
      <c r="B90" s="187" t="s">
        <v>675</v>
      </c>
      <c r="C90" s="214" t="s">
        <v>806</v>
      </c>
      <c r="D90" s="128" t="s">
        <v>16</v>
      </c>
      <c r="E90" s="128"/>
      <c r="F90" s="128" t="s">
        <v>238</v>
      </c>
      <c r="G90" s="128">
        <v>1</v>
      </c>
      <c r="H90" s="128"/>
      <c r="I90" s="129" t="s">
        <v>19</v>
      </c>
      <c r="J90" s="128"/>
      <c r="K90" s="128"/>
      <c r="L90" s="151"/>
      <c r="M90" s="129"/>
      <c r="N90" s="151"/>
      <c r="O90" s="131"/>
      <c r="P90" s="130" t="s">
        <v>677</v>
      </c>
      <c r="Q90" s="213"/>
    </row>
    <row r="91" spans="1:17" ht="102" x14ac:dyDescent="0.2">
      <c r="A91" s="143">
        <f>A90+1</f>
        <v>84</v>
      </c>
      <c r="B91" s="187" t="s">
        <v>678</v>
      </c>
      <c r="C91" s="214" t="s">
        <v>1013</v>
      </c>
      <c r="D91" s="128" t="s">
        <v>16</v>
      </c>
      <c r="E91" s="128"/>
      <c r="F91" s="128" t="s">
        <v>914</v>
      </c>
      <c r="G91" s="128">
        <v>1</v>
      </c>
      <c r="H91" s="128"/>
      <c r="I91" s="129" t="s">
        <v>900</v>
      </c>
      <c r="J91" s="128"/>
      <c r="K91" s="128"/>
      <c r="L91" s="151"/>
      <c r="M91" s="129"/>
      <c r="N91" s="151"/>
      <c r="O91" s="131"/>
      <c r="P91" s="130" t="s">
        <v>677</v>
      </c>
      <c r="Q91" s="213" t="s">
        <v>1014</v>
      </c>
    </row>
    <row r="92" spans="1:17" ht="63.75" x14ac:dyDescent="0.2">
      <c r="A92" s="143">
        <f t="shared" si="0"/>
        <v>85</v>
      </c>
      <c r="B92" s="187" t="s">
        <v>679</v>
      </c>
      <c r="C92" s="151" t="s">
        <v>913</v>
      </c>
      <c r="D92" s="128" t="s">
        <v>16</v>
      </c>
      <c r="E92" s="128"/>
      <c r="F92" s="128" t="s">
        <v>914</v>
      </c>
      <c r="G92" s="128">
        <v>1</v>
      </c>
      <c r="H92" s="129" t="s">
        <v>110</v>
      </c>
      <c r="I92" s="129" t="s">
        <v>900</v>
      </c>
      <c r="J92" s="128"/>
      <c r="K92" s="128"/>
      <c r="L92" s="151"/>
      <c r="M92" s="129"/>
      <c r="N92" s="151"/>
      <c r="O92" s="131"/>
      <c r="P92" s="130" t="s">
        <v>677</v>
      </c>
      <c r="Q92" s="164" t="s">
        <v>918</v>
      </c>
    </row>
    <row r="93" spans="1:17" ht="38.25" x14ac:dyDescent="0.2">
      <c r="A93" s="143">
        <f t="shared" si="0"/>
        <v>86</v>
      </c>
      <c r="B93" s="187" t="s">
        <v>416</v>
      </c>
      <c r="C93" s="151" t="s">
        <v>723</v>
      </c>
      <c r="D93" s="128" t="s">
        <v>16</v>
      </c>
      <c r="E93" s="128"/>
      <c r="F93" s="128" t="s">
        <v>238</v>
      </c>
      <c r="G93" s="128">
        <v>1</v>
      </c>
      <c r="H93" s="129" t="s">
        <v>110</v>
      </c>
      <c r="I93" s="129" t="s">
        <v>19</v>
      </c>
      <c r="J93" s="128"/>
      <c r="K93" s="128"/>
      <c r="L93" s="151"/>
      <c r="M93" s="129"/>
      <c r="N93" s="151"/>
      <c r="O93" s="131"/>
      <c r="P93" s="131" t="s">
        <v>374</v>
      </c>
      <c r="Q93" s="164"/>
    </row>
    <row r="94" spans="1:17" x14ac:dyDescent="0.2">
      <c r="A94" s="143">
        <f t="shared" si="0"/>
        <v>87</v>
      </c>
      <c r="B94" s="187" t="s">
        <v>417</v>
      </c>
      <c r="C94" s="151" t="s">
        <v>380</v>
      </c>
      <c r="D94" s="128" t="s">
        <v>16</v>
      </c>
      <c r="E94" s="128"/>
      <c r="F94" s="128" t="s">
        <v>238</v>
      </c>
      <c r="G94" s="128">
        <v>1</v>
      </c>
      <c r="H94" s="129" t="s">
        <v>110</v>
      </c>
      <c r="I94" s="129" t="s">
        <v>19</v>
      </c>
      <c r="J94" s="128"/>
      <c r="K94" s="128"/>
      <c r="L94" s="151"/>
      <c r="M94" s="129"/>
      <c r="N94" s="151"/>
      <c r="O94" s="131"/>
      <c r="P94" s="131" t="s">
        <v>374</v>
      </c>
      <c r="Q94" s="164"/>
    </row>
    <row r="95" spans="1:17" x14ac:dyDescent="0.2">
      <c r="A95" s="143">
        <f t="shared" si="0"/>
        <v>88</v>
      </c>
      <c r="B95" s="187" t="s">
        <v>418</v>
      </c>
      <c r="C95" s="151" t="s">
        <v>381</v>
      </c>
      <c r="D95" s="128" t="s">
        <v>16</v>
      </c>
      <c r="E95" s="128"/>
      <c r="F95" s="128" t="s">
        <v>238</v>
      </c>
      <c r="G95" s="128">
        <v>1</v>
      </c>
      <c r="H95" s="128"/>
      <c r="I95" s="129" t="s">
        <v>19</v>
      </c>
      <c r="J95" s="128"/>
      <c r="K95" s="128"/>
      <c r="L95" s="151"/>
      <c r="M95" s="129"/>
      <c r="N95" s="151"/>
      <c r="O95" s="131"/>
      <c r="P95" s="131" t="s">
        <v>374</v>
      </c>
      <c r="Q95" s="164"/>
    </row>
    <row r="96" spans="1:17" ht="25.5" x14ac:dyDescent="0.2">
      <c r="A96" s="143">
        <f t="shared" si="0"/>
        <v>89</v>
      </c>
      <c r="B96" s="187" t="s">
        <v>419</v>
      </c>
      <c r="C96" s="151" t="s">
        <v>973</v>
      </c>
      <c r="D96" s="128" t="s">
        <v>16</v>
      </c>
      <c r="E96" s="128"/>
      <c r="F96" s="128" t="s">
        <v>914</v>
      </c>
      <c r="G96" s="128">
        <v>1</v>
      </c>
      <c r="H96" s="128"/>
      <c r="I96" s="129" t="s">
        <v>900</v>
      </c>
      <c r="J96" s="128"/>
      <c r="K96" s="128"/>
      <c r="L96" s="151"/>
      <c r="M96" s="129"/>
      <c r="N96" s="151"/>
      <c r="O96" s="131"/>
      <c r="P96" s="131" t="s">
        <v>374</v>
      </c>
      <c r="Q96" s="166" t="s">
        <v>974</v>
      </c>
    </row>
    <row r="97" spans="1:17" ht="25.5" x14ac:dyDescent="0.2">
      <c r="A97" s="143">
        <f t="shared" si="0"/>
        <v>90</v>
      </c>
      <c r="B97" s="187" t="s">
        <v>420</v>
      </c>
      <c r="C97" s="151" t="s">
        <v>174</v>
      </c>
      <c r="D97" s="128" t="s">
        <v>16</v>
      </c>
      <c r="E97" s="128"/>
      <c r="F97" s="128" t="s">
        <v>238</v>
      </c>
      <c r="G97" s="128">
        <v>1</v>
      </c>
      <c r="H97" s="128"/>
      <c r="I97" s="129" t="s">
        <v>19</v>
      </c>
      <c r="J97" s="128"/>
      <c r="K97" s="128"/>
      <c r="L97" s="151"/>
      <c r="M97" s="129"/>
      <c r="N97" s="151"/>
      <c r="O97" s="131"/>
      <c r="P97" s="131" t="s">
        <v>374</v>
      </c>
      <c r="Q97" s="164"/>
    </row>
    <row r="98" spans="1:17" ht="25.5" x14ac:dyDescent="0.2">
      <c r="A98" s="143">
        <f t="shared" si="0"/>
        <v>91</v>
      </c>
      <c r="B98" s="187" t="s">
        <v>421</v>
      </c>
      <c r="C98" s="151" t="s">
        <v>727</v>
      </c>
      <c r="D98" s="128" t="s">
        <v>16</v>
      </c>
      <c r="E98" s="128"/>
      <c r="F98" s="128" t="s">
        <v>238</v>
      </c>
      <c r="G98" s="128">
        <v>1</v>
      </c>
      <c r="H98" s="128"/>
      <c r="I98" s="129" t="s">
        <v>19</v>
      </c>
      <c r="J98" s="128"/>
      <c r="K98" s="128"/>
      <c r="L98" s="151"/>
      <c r="M98" s="129"/>
      <c r="N98" s="151"/>
      <c r="O98" s="131"/>
      <c r="P98" s="131" t="s">
        <v>374</v>
      </c>
      <c r="Q98" s="164"/>
    </row>
    <row r="99" spans="1:17" ht="63.75" x14ac:dyDescent="0.2">
      <c r="A99" s="143">
        <f t="shared" si="0"/>
        <v>92</v>
      </c>
      <c r="B99" s="187" t="s">
        <v>622</v>
      </c>
      <c r="C99" s="202" t="s">
        <v>623</v>
      </c>
      <c r="D99" s="203" t="s">
        <v>16</v>
      </c>
      <c r="E99" s="203"/>
      <c r="F99" s="203" t="s">
        <v>238</v>
      </c>
      <c r="G99" s="203">
        <v>1</v>
      </c>
      <c r="H99" s="203"/>
      <c r="I99" s="204" t="s">
        <v>19</v>
      </c>
      <c r="J99" s="203"/>
      <c r="K99" s="203"/>
      <c r="L99" s="202"/>
      <c r="M99" s="204"/>
      <c r="N99" s="202"/>
      <c r="O99" s="203"/>
      <c r="P99" s="204" t="s">
        <v>903</v>
      </c>
      <c r="Q99" s="215" t="s">
        <v>724</v>
      </c>
    </row>
    <row r="100" spans="1:17" ht="63.75" x14ac:dyDescent="0.2">
      <c r="A100" s="143">
        <f t="shared" si="0"/>
        <v>93</v>
      </c>
      <c r="B100" s="187" t="s">
        <v>274</v>
      </c>
      <c r="C100" s="151" t="s">
        <v>746</v>
      </c>
      <c r="D100" s="128" t="s">
        <v>16</v>
      </c>
      <c r="E100" s="128"/>
      <c r="F100" s="128" t="s">
        <v>238</v>
      </c>
      <c r="G100" s="128">
        <v>1</v>
      </c>
      <c r="H100" s="128"/>
      <c r="I100" s="129" t="s">
        <v>19</v>
      </c>
      <c r="J100" s="128"/>
      <c r="K100" s="128"/>
      <c r="L100" s="151"/>
      <c r="M100" s="129"/>
      <c r="N100" s="151"/>
      <c r="O100" s="131"/>
      <c r="P100" s="131" t="s">
        <v>910</v>
      </c>
      <c r="Q100" s="166" t="s">
        <v>729</v>
      </c>
    </row>
    <row r="101" spans="1:17" ht="25.5" x14ac:dyDescent="0.2">
      <c r="A101" s="143">
        <f t="shared" si="0"/>
        <v>94</v>
      </c>
      <c r="B101" s="187" t="s">
        <v>387</v>
      </c>
      <c r="C101" s="151" t="s">
        <v>736</v>
      </c>
      <c r="D101" s="128" t="s">
        <v>16</v>
      </c>
      <c r="E101" s="128"/>
      <c r="F101" s="128" t="s">
        <v>238</v>
      </c>
      <c r="G101" s="128">
        <v>1</v>
      </c>
      <c r="H101" s="128"/>
      <c r="I101" s="129" t="s">
        <v>19</v>
      </c>
      <c r="J101" s="128"/>
      <c r="K101" s="128"/>
      <c r="L101" s="151"/>
      <c r="M101" s="129"/>
      <c r="N101" s="151"/>
      <c r="O101" s="131"/>
      <c r="P101" s="130" t="s">
        <v>911</v>
      </c>
      <c r="Q101" s="164"/>
    </row>
    <row r="102" spans="1:17" ht="153" x14ac:dyDescent="0.2">
      <c r="A102" s="143">
        <f t="shared" si="0"/>
        <v>95</v>
      </c>
      <c r="B102" s="187" t="s">
        <v>388</v>
      </c>
      <c r="C102" s="151" t="s">
        <v>915</v>
      </c>
      <c r="D102" s="128" t="s">
        <v>16</v>
      </c>
      <c r="E102" s="128"/>
      <c r="F102" s="128" t="s">
        <v>914</v>
      </c>
      <c r="G102" s="128">
        <v>1</v>
      </c>
      <c r="H102" s="128"/>
      <c r="I102" s="129" t="s">
        <v>900</v>
      </c>
      <c r="J102" s="128"/>
      <c r="K102" s="128"/>
      <c r="L102" s="151"/>
      <c r="M102" s="129"/>
      <c r="N102" s="151"/>
      <c r="O102" s="131"/>
      <c r="P102" s="131" t="s">
        <v>910</v>
      </c>
      <c r="Q102" s="164" t="s">
        <v>917</v>
      </c>
    </row>
    <row r="103" spans="1:17" ht="76.5" x14ac:dyDescent="0.2">
      <c r="A103" s="143">
        <f t="shared" si="0"/>
        <v>96</v>
      </c>
      <c r="B103" s="187" t="s">
        <v>389</v>
      </c>
      <c r="C103" s="151" t="s">
        <v>916</v>
      </c>
      <c r="D103" s="128" t="s">
        <v>16</v>
      </c>
      <c r="E103" s="128"/>
      <c r="F103" s="128" t="s">
        <v>914</v>
      </c>
      <c r="G103" s="128">
        <v>1</v>
      </c>
      <c r="H103" s="128"/>
      <c r="I103" s="129" t="s">
        <v>900</v>
      </c>
      <c r="J103" s="128"/>
      <c r="K103" s="128"/>
      <c r="L103" s="151"/>
      <c r="M103" s="129"/>
      <c r="N103" s="151"/>
      <c r="O103" s="131"/>
      <c r="P103" s="130" t="s">
        <v>911</v>
      </c>
      <c r="Q103" s="164" t="s">
        <v>917</v>
      </c>
    </row>
    <row r="104" spans="1:17" ht="25.5" x14ac:dyDescent="0.2">
      <c r="A104" s="143">
        <f t="shared" si="0"/>
        <v>97</v>
      </c>
      <c r="B104" s="187" t="s">
        <v>390</v>
      </c>
      <c r="C104" s="151" t="s">
        <v>722</v>
      </c>
      <c r="D104" s="128" t="s">
        <v>16</v>
      </c>
      <c r="E104" s="128"/>
      <c r="F104" s="128" t="s">
        <v>238</v>
      </c>
      <c r="G104" s="128">
        <v>1</v>
      </c>
      <c r="H104" s="128"/>
      <c r="I104" s="129" t="s">
        <v>19</v>
      </c>
      <c r="J104" s="128"/>
      <c r="K104" s="128"/>
      <c r="L104" s="151"/>
      <c r="M104" s="129"/>
      <c r="N104" s="151"/>
      <c r="O104" s="131"/>
      <c r="P104" s="131" t="s">
        <v>910</v>
      </c>
      <c r="Q104" s="164"/>
    </row>
    <row r="105" spans="1:17" x14ac:dyDescent="0.2">
      <c r="A105" s="143">
        <f t="shared" si="0"/>
        <v>98</v>
      </c>
      <c r="B105" s="187" t="s">
        <v>391</v>
      </c>
      <c r="C105" s="151" t="s">
        <v>737</v>
      </c>
      <c r="D105" s="128" t="s">
        <v>16</v>
      </c>
      <c r="E105" s="128"/>
      <c r="F105" s="128" t="s">
        <v>238</v>
      </c>
      <c r="G105" s="128">
        <v>1</v>
      </c>
      <c r="H105" s="128"/>
      <c r="I105" s="129" t="s">
        <v>19</v>
      </c>
      <c r="J105" s="128"/>
      <c r="K105" s="128"/>
      <c r="L105" s="151"/>
      <c r="M105" s="129"/>
      <c r="N105" s="151"/>
      <c r="O105" s="131"/>
      <c r="P105" s="131" t="s">
        <v>910</v>
      </c>
      <c r="Q105" s="164"/>
    </row>
    <row r="106" spans="1:17" ht="25.5" x14ac:dyDescent="0.2">
      <c r="A106" s="143">
        <f t="shared" si="0"/>
        <v>99</v>
      </c>
      <c r="B106" s="187" t="s">
        <v>392</v>
      </c>
      <c r="C106" s="151" t="s">
        <v>721</v>
      </c>
      <c r="D106" s="128" t="s">
        <v>16</v>
      </c>
      <c r="E106" s="128"/>
      <c r="F106" s="128" t="s">
        <v>238</v>
      </c>
      <c r="G106" s="128">
        <v>1</v>
      </c>
      <c r="H106" s="128"/>
      <c r="I106" s="129" t="s">
        <v>19</v>
      </c>
      <c r="J106" s="128"/>
      <c r="K106" s="128"/>
      <c r="L106" s="151"/>
      <c r="M106" s="129"/>
      <c r="N106" s="151"/>
      <c r="O106" s="131"/>
      <c r="P106" s="131" t="s">
        <v>910</v>
      </c>
      <c r="Q106" s="164"/>
    </row>
    <row r="107" spans="1:17" x14ac:dyDescent="0.2">
      <c r="A107" s="143">
        <f t="shared" si="0"/>
        <v>100</v>
      </c>
      <c r="B107" s="187" t="s">
        <v>393</v>
      </c>
      <c r="C107" s="151" t="s">
        <v>738</v>
      </c>
      <c r="D107" s="128" t="s">
        <v>16</v>
      </c>
      <c r="E107" s="128"/>
      <c r="F107" s="128" t="s">
        <v>238</v>
      </c>
      <c r="G107" s="128">
        <v>1</v>
      </c>
      <c r="H107" s="128"/>
      <c r="I107" s="129" t="s">
        <v>19</v>
      </c>
      <c r="J107" s="128"/>
      <c r="K107" s="128"/>
      <c r="L107" s="151"/>
      <c r="M107" s="129"/>
      <c r="N107" s="151"/>
      <c r="O107" s="131"/>
      <c r="P107" s="131" t="s">
        <v>910</v>
      </c>
      <c r="Q107" s="164"/>
    </row>
    <row r="108" spans="1:17" ht="25.5" x14ac:dyDescent="0.2">
      <c r="A108" s="143">
        <f t="shared" si="0"/>
        <v>101</v>
      </c>
      <c r="B108" s="187" t="s">
        <v>394</v>
      </c>
      <c r="C108" s="151" t="s">
        <v>741</v>
      </c>
      <c r="D108" s="128" t="s">
        <v>16</v>
      </c>
      <c r="E108" s="128"/>
      <c r="F108" s="128" t="s">
        <v>238</v>
      </c>
      <c r="G108" s="128">
        <v>1</v>
      </c>
      <c r="H108" s="128"/>
      <c r="I108" s="129" t="s">
        <v>19</v>
      </c>
      <c r="J108" s="128"/>
      <c r="K108" s="128"/>
      <c r="L108" s="151"/>
      <c r="M108" s="129"/>
      <c r="N108" s="151"/>
      <c r="O108" s="131"/>
      <c r="P108" s="131" t="s">
        <v>910</v>
      </c>
      <c r="Q108" s="164"/>
    </row>
    <row r="109" spans="1:17" x14ac:dyDescent="0.2">
      <c r="A109" s="143">
        <f>A108+1</f>
        <v>102</v>
      </c>
      <c r="B109" s="187" t="s">
        <v>395</v>
      </c>
      <c r="C109" s="151" t="s">
        <v>739</v>
      </c>
      <c r="D109" s="128" t="s">
        <v>16</v>
      </c>
      <c r="E109" s="128"/>
      <c r="F109" s="128" t="s">
        <v>238</v>
      </c>
      <c r="G109" s="128">
        <v>1</v>
      </c>
      <c r="H109" s="128"/>
      <c r="I109" s="129" t="s">
        <v>19</v>
      </c>
      <c r="J109" s="128"/>
      <c r="K109" s="128"/>
      <c r="L109" s="151"/>
      <c r="M109" s="129"/>
      <c r="N109" s="151"/>
      <c r="O109" s="131"/>
      <c r="P109" s="131" t="s">
        <v>910</v>
      </c>
      <c r="Q109" s="164"/>
    </row>
    <row r="110" spans="1:17" ht="25.5" x14ac:dyDescent="0.2">
      <c r="A110" s="143">
        <f t="shared" si="0"/>
        <v>103</v>
      </c>
      <c r="B110" s="187" t="s">
        <v>396</v>
      </c>
      <c r="C110" s="151" t="s">
        <v>742</v>
      </c>
      <c r="D110" s="128" t="s">
        <v>16</v>
      </c>
      <c r="E110" s="128"/>
      <c r="F110" s="128" t="s">
        <v>238</v>
      </c>
      <c r="G110" s="128">
        <v>1</v>
      </c>
      <c r="H110" s="128"/>
      <c r="I110" s="129" t="s">
        <v>19</v>
      </c>
      <c r="J110" s="128"/>
      <c r="K110" s="128"/>
      <c r="L110" s="151"/>
      <c r="M110" s="129"/>
      <c r="N110" s="151"/>
      <c r="O110" s="131"/>
      <c r="P110" s="131" t="s">
        <v>910</v>
      </c>
      <c r="Q110" s="164"/>
    </row>
    <row r="111" spans="1:17" x14ac:dyDescent="0.2">
      <c r="A111" s="143">
        <f>A109+1</f>
        <v>103</v>
      </c>
      <c r="B111" s="187" t="s">
        <v>397</v>
      </c>
      <c r="C111" s="151" t="s">
        <v>740</v>
      </c>
      <c r="D111" s="128" t="s">
        <v>16</v>
      </c>
      <c r="E111" s="128"/>
      <c r="F111" s="128" t="s">
        <v>238</v>
      </c>
      <c r="G111" s="128">
        <v>1</v>
      </c>
      <c r="H111" s="128"/>
      <c r="I111" s="129" t="s">
        <v>19</v>
      </c>
      <c r="J111" s="128"/>
      <c r="K111" s="128"/>
      <c r="L111" s="151"/>
      <c r="M111" s="129"/>
      <c r="N111" s="151"/>
      <c r="O111" s="131"/>
      <c r="P111" s="131" t="s">
        <v>910</v>
      </c>
      <c r="Q111" s="164"/>
    </row>
    <row r="112" spans="1:17" ht="25.5" x14ac:dyDescent="0.2">
      <c r="A112" s="143">
        <f t="shared" ref="A112" si="1">A110+1</f>
        <v>104</v>
      </c>
      <c r="B112" s="187" t="s">
        <v>398</v>
      </c>
      <c r="C112" s="151" t="s">
        <v>232</v>
      </c>
      <c r="D112" s="128" t="s">
        <v>16</v>
      </c>
      <c r="E112" s="128"/>
      <c r="F112" s="128" t="s">
        <v>238</v>
      </c>
      <c r="G112" s="128">
        <v>1</v>
      </c>
      <c r="H112" s="128"/>
      <c r="I112" s="129" t="s">
        <v>19</v>
      </c>
      <c r="J112" s="128"/>
      <c r="K112" s="128"/>
      <c r="L112" s="151"/>
      <c r="M112" s="129"/>
      <c r="N112" s="151"/>
      <c r="O112" s="131"/>
      <c r="P112" s="131" t="s">
        <v>910</v>
      </c>
      <c r="Q112" s="164"/>
    </row>
    <row r="113" spans="1:17" ht="76.5" x14ac:dyDescent="0.2">
      <c r="A113" s="143">
        <f>A112+1</f>
        <v>105</v>
      </c>
      <c r="B113" s="187" t="s">
        <v>399</v>
      </c>
      <c r="C113" s="202" t="s">
        <v>747</v>
      </c>
      <c r="D113" s="203" t="s">
        <v>16</v>
      </c>
      <c r="E113" s="203"/>
      <c r="F113" s="203" t="s">
        <v>238</v>
      </c>
      <c r="G113" s="203">
        <v>1</v>
      </c>
      <c r="H113" s="203"/>
      <c r="I113" s="204" t="s">
        <v>19</v>
      </c>
      <c r="J113" s="203"/>
      <c r="K113" s="203"/>
      <c r="L113" s="202"/>
      <c r="M113" s="204"/>
      <c r="N113" s="202"/>
      <c r="O113" s="203"/>
      <c r="P113" s="204" t="s">
        <v>903</v>
      </c>
      <c r="Q113" s="164"/>
    </row>
    <row r="114" spans="1:17" x14ac:dyDescent="0.2">
      <c r="A114" s="143">
        <f t="shared" si="0"/>
        <v>106</v>
      </c>
      <c r="B114" s="187" t="s">
        <v>400</v>
      </c>
      <c r="C114" s="151" t="s">
        <v>229</v>
      </c>
      <c r="D114" s="128" t="s">
        <v>16</v>
      </c>
      <c r="E114" s="128"/>
      <c r="F114" s="128" t="s">
        <v>238</v>
      </c>
      <c r="G114" s="128">
        <v>1</v>
      </c>
      <c r="H114" s="128"/>
      <c r="I114" s="129" t="s">
        <v>19</v>
      </c>
      <c r="J114" s="128"/>
      <c r="K114" s="128"/>
      <c r="L114" s="151"/>
      <c r="M114" s="129"/>
      <c r="N114" s="151"/>
      <c r="O114" s="131"/>
      <c r="P114" s="131" t="s">
        <v>910</v>
      </c>
      <c r="Q114" s="164"/>
    </row>
    <row r="115" spans="1:17" x14ac:dyDescent="0.2">
      <c r="A115" s="143">
        <f t="shared" si="0"/>
        <v>107</v>
      </c>
      <c r="B115" s="187" t="s">
        <v>401</v>
      </c>
      <c r="C115" s="151" t="s">
        <v>230</v>
      </c>
      <c r="D115" s="128" t="s">
        <v>16</v>
      </c>
      <c r="E115" s="128"/>
      <c r="F115" s="128" t="s">
        <v>238</v>
      </c>
      <c r="G115" s="128">
        <v>1</v>
      </c>
      <c r="H115" s="128"/>
      <c r="I115" s="129" t="s">
        <v>19</v>
      </c>
      <c r="J115" s="128"/>
      <c r="K115" s="128"/>
      <c r="L115" s="151"/>
      <c r="M115" s="129"/>
      <c r="N115" s="151"/>
      <c r="O115" s="131"/>
      <c r="P115" s="131" t="s">
        <v>910</v>
      </c>
      <c r="Q115" s="164"/>
    </row>
    <row r="116" spans="1:17" x14ac:dyDescent="0.2">
      <c r="A116" s="143">
        <f t="shared" si="0"/>
        <v>108</v>
      </c>
      <c r="B116" s="187" t="s">
        <v>402</v>
      </c>
      <c r="C116" s="151" t="s">
        <v>720</v>
      </c>
      <c r="D116" s="128" t="s">
        <v>16</v>
      </c>
      <c r="E116" s="128"/>
      <c r="F116" s="128" t="s">
        <v>238</v>
      </c>
      <c r="G116" s="128">
        <v>1</v>
      </c>
      <c r="H116" s="128"/>
      <c r="I116" s="129" t="s">
        <v>19</v>
      </c>
      <c r="J116" s="128"/>
      <c r="K116" s="128"/>
      <c r="L116" s="151"/>
      <c r="M116" s="129"/>
      <c r="N116" s="151"/>
      <c r="O116" s="131"/>
      <c r="P116" s="131" t="s">
        <v>910</v>
      </c>
      <c r="Q116" s="164"/>
    </row>
    <row r="117" spans="1:17" x14ac:dyDescent="0.2">
      <c r="A117" s="143">
        <f t="shared" si="0"/>
        <v>109</v>
      </c>
      <c r="B117" s="187" t="s">
        <v>403</v>
      </c>
      <c r="C117" s="151" t="s">
        <v>231</v>
      </c>
      <c r="D117" s="128" t="s">
        <v>16</v>
      </c>
      <c r="E117" s="128"/>
      <c r="F117" s="128" t="s">
        <v>238</v>
      </c>
      <c r="G117" s="128">
        <v>1</v>
      </c>
      <c r="H117" s="128"/>
      <c r="I117" s="129" t="s">
        <v>19</v>
      </c>
      <c r="J117" s="128"/>
      <c r="K117" s="128"/>
      <c r="L117" s="151"/>
      <c r="M117" s="129"/>
      <c r="N117" s="151"/>
      <c r="O117" s="131"/>
      <c r="P117" s="131" t="s">
        <v>910</v>
      </c>
      <c r="Q117" s="164"/>
    </row>
    <row r="118" spans="1:17" ht="150.75" customHeight="1" x14ac:dyDescent="0.2">
      <c r="A118" s="143">
        <f t="shared" si="0"/>
        <v>110</v>
      </c>
      <c r="B118" s="187" t="s">
        <v>404</v>
      </c>
      <c r="C118" s="151" t="s">
        <v>753</v>
      </c>
      <c r="D118" s="128" t="s">
        <v>16</v>
      </c>
      <c r="E118" s="128"/>
      <c r="F118" s="128" t="s">
        <v>238</v>
      </c>
      <c r="G118" s="128">
        <v>1</v>
      </c>
      <c r="H118" s="128"/>
      <c r="I118" s="129" t="s">
        <v>19</v>
      </c>
      <c r="J118" s="128"/>
      <c r="K118" s="128"/>
      <c r="L118" s="151"/>
      <c r="M118" s="129"/>
      <c r="N118" s="151"/>
      <c r="O118" s="131"/>
      <c r="P118" s="131" t="s">
        <v>910</v>
      </c>
      <c r="Q118" s="164"/>
    </row>
    <row r="119" spans="1:17" x14ac:dyDescent="0.2">
      <c r="A119" s="143">
        <f t="shared" ref="A119:A127" si="2">A118+1</f>
        <v>111</v>
      </c>
      <c r="B119" s="187" t="s">
        <v>405</v>
      </c>
      <c r="C119" s="151" t="s">
        <v>219</v>
      </c>
      <c r="D119" s="128" t="s">
        <v>16</v>
      </c>
      <c r="E119" s="128"/>
      <c r="F119" s="128" t="s">
        <v>238</v>
      </c>
      <c r="G119" s="128">
        <v>1</v>
      </c>
      <c r="H119" s="128"/>
      <c r="I119" s="129" t="s">
        <v>19</v>
      </c>
      <c r="J119" s="128"/>
      <c r="K119" s="128"/>
      <c r="L119" s="151"/>
      <c r="M119" s="129"/>
      <c r="N119" s="151"/>
      <c r="O119" s="131"/>
      <c r="P119" s="130" t="s">
        <v>911</v>
      </c>
      <c r="Q119" s="164"/>
    </row>
    <row r="120" spans="1:17" ht="178.5" x14ac:dyDescent="0.2">
      <c r="A120" s="143">
        <f t="shared" si="2"/>
        <v>112</v>
      </c>
      <c r="B120" s="187" t="s">
        <v>621</v>
      </c>
      <c r="C120" s="151" t="s">
        <v>728</v>
      </c>
      <c r="D120" s="128" t="s">
        <v>16</v>
      </c>
      <c r="E120" s="128"/>
      <c r="F120" s="128" t="s">
        <v>238</v>
      </c>
      <c r="G120" s="128">
        <v>1</v>
      </c>
      <c r="H120" s="128"/>
      <c r="I120" s="129" t="s">
        <v>19</v>
      </c>
      <c r="J120" s="128"/>
      <c r="K120" s="128"/>
      <c r="L120" s="151"/>
      <c r="M120" s="129"/>
      <c r="N120" s="151"/>
      <c r="O120" s="131"/>
      <c r="P120" s="130" t="s">
        <v>911</v>
      </c>
      <c r="Q120" s="164"/>
    </row>
    <row r="121" spans="1:17" x14ac:dyDescent="0.2">
      <c r="A121" s="143">
        <f t="shared" si="2"/>
        <v>113</v>
      </c>
      <c r="B121" s="187" t="s">
        <v>735</v>
      </c>
      <c r="C121" s="151" t="s">
        <v>221</v>
      </c>
      <c r="D121" s="128" t="s">
        <v>16</v>
      </c>
      <c r="E121" s="128"/>
      <c r="F121" s="128" t="s">
        <v>238</v>
      </c>
      <c r="G121" s="128">
        <v>1</v>
      </c>
      <c r="H121" s="128"/>
      <c r="I121" s="129" t="s">
        <v>19</v>
      </c>
      <c r="J121" s="128"/>
      <c r="K121" s="128"/>
      <c r="L121" s="151"/>
      <c r="M121" s="129"/>
      <c r="N121" s="151"/>
      <c r="O121" s="131"/>
      <c r="P121" s="130" t="s">
        <v>911</v>
      </c>
      <c r="Q121" s="164"/>
    </row>
    <row r="122" spans="1:17" x14ac:dyDescent="0.2">
      <c r="A122" s="143">
        <f t="shared" si="2"/>
        <v>114</v>
      </c>
      <c r="B122" s="187" t="s">
        <v>743</v>
      </c>
      <c r="C122" s="151" t="s">
        <v>222</v>
      </c>
      <c r="D122" s="128" t="s">
        <v>16</v>
      </c>
      <c r="E122" s="128"/>
      <c r="F122" s="128" t="s">
        <v>238</v>
      </c>
      <c r="G122" s="128">
        <v>1</v>
      </c>
      <c r="H122" s="128"/>
      <c r="I122" s="129" t="s">
        <v>19</v>
      </c>
      <c r="J122" s="128"/>
      <c r="K122" s="128"/>
      <c r="L122" s="151"/>
      <c r="M122" s="129"/>
      <c r="N122" s="151"/>
      <c r="O122" s="131"/>
      <c r="P122" s="130" t="s">
        <v>911</v>
      </c>
      <c r="Q122" s="164"/>
    </row>
    <row r="123" spans="1:17" x14ac:dyDescent="0.2">
      <c r="A123" s="143">
        <f t="shared" si="2"/>
        <v>115</v>
      </c>
      <c r="B123" s="187" t="s">
        <v>744</v>
      </c>
      <c r="C123" s="151" t="s">
        <v>223</v>
      </c>
      <c r="D123" s="128" t="s">
        <v>16</v>
      </c>
      <c r="E123" s="128"/>
      <c r="F123" s="128" t="s">
        <v>238</v>
      </c>
      <c r="G123" s="128">
        <v>1</v>
      </c>
      <c r="H123" s="128"/>
      <c r="I123" s="129" t="s">
        <v>19</v>
      </c>
      <c r="J123" s="128"/>
      <c r="K123" s="128"/>
      <c r="L123" s="151"/>
      <c r="M123" s="129"/>
      <c r="N123" s="151"/>
      <c r="O123" s="131"/>
      <c r="P123" s="130" t="s">
        <v>911</v>
      </c>
      <c r="Q123" s="164"/>
    </row>
    <row r="124" spans="1:17" x14ac:dyDescent="0.2">
      <c r="A124" s="143">
        <f t="shared" si="2"/>
        <v>116</v>
      </c>
      <c r="B124" s="187" t="s">
        <v>745</v>
      </c>
      <c r="C124" s="151" t="s">
        <v>224</v>
      </c>
      <c r="D124" s="128" t="s">
        <v>16</v>
      </c>
      <c r="E124" s="128"/>
      <c r="F124" s="128" t="s">
        <v>238</v>
      </c>
      <c r="G124" s="128">
        <v>1</v>
      </c>
      <c r="H124" s="128"/>
      <c r="I124" s="129" t="s">
        <v>19</v>
      </c>
      <c r="J124" s="128"/>
      <c r="K124" s="128"/>
      <c r="L124" s="151"/>
      <c r="M124" s="129"/>
      <c r="N124" s="151"/>
      <c r="O124" s="131"/>
      <c r="P124" s="130" t="s">
        <v>911</v>
      </c>
      <c r="Q124" s="164"/>
    </row>
    <row r="125" spans="1:17" x14ac:dyDescent="0.2">
      <c r="A125" s="143">
        <f t="shared" si="2"/>
        <v>117</v>
      </c>
      <c r="B125" s="187"/>
      <c r="C125" s="151"/>
      <c r="D125" s="128"/>
      <c r="E125" s="128"/>
      <c r="F125" s="128"/>
      <c r="G125" s="128"/>
      <c r="H125" s="128"/>
      <c r="I125" s="129"/>
      <c r="J125" s="128"/>
      <c r="K125" s="128"/>
      <c r="L125" s="151"/>
      <c r="M125" s="129"/>
      <c r="N125" s="151"/>
      <c r="O125" s="131"/>
      <c r="P125" s="130"/>
      <c r="Q125" s="164"/>
    </row>
    <row r="126" spans="1:17" ht="38.25" x14ac:dyDescent="0.2">
      <c r="A126" s="143" t="e">
        <f>#REF!+1</f>
        <v>#REF!</v>
      </c>
      <c r="B126" s="187" t="s">
        <v>275</v>
      </c>
      <c r="C126" s="156" t="s">
        <v>644</v>
      </c>
      <c r="D126" s="128" t="s">
        <v>16</v>
      </c>
      <c r="E126" s="128"/>
      <c r="F126" s="128" t="s">
        <v>238</v>
      </c>
      <c r="G126" s="128">
        <v>1</v>
      </c>
      <c r="H126" s="128"/>
      <c r="I126" s="129" t="s">
        <v>19</v>
      </c>
      <c r="J126" s="128"/>
      <c r="K126" s="128"/>
      <c r="L126" s="151"/>
      <c r="M126" s="129"/>
      <c r="N126" s="151"/>
      <c r="O126" s="131"/>
      <c r="P126" s="130" t="s">
        <v>276</v>
      </c>
      <c r="Q126" s="164"/>
    </row>
    <row r="127" spans="1:17" ht="127.5" x14ac:dyDescent="0.2">
      <c r="A127" s="143" t="e">
        <f t="shared" si="2"/>
        <v>#REF!</v>
      </c>
      <c r="B127" s="187" t="s">
        <v>273</v>
      </c>
      <c r="C127" s="151" t="s">
        <v>690</v>
      </c>
      <c r="D127" s="128" t="s">
        <v>16</v>
      </c>
      <c r="E127" s="128"/>
      <c r="F127" s="128" t="s">
        <v>238</v>
      </c>
      <c r="G127" s="128">
        <v>1</v>
      </c>
      <c r="H127" s="128"/>
      <c r="I127" s="129" t="s">
        <v>19</v>
      </c>
      <c r="J127" s="128"/>
      <c r="K127" s="128"/>
      <c r="L127" s="151"/>
      <c r="M127" s="129"/>
      <c r="N127" s="151"/>
      <c r="O127" s="131"/>
      <c r="P127" s="130" t="s">
        <v>378</v>
      </c>
      <c r="Q127" s="164"/>
    </row>
    <row r="128" spans="1:17" ht="51" x14ac:dyDescent="0.2">
      <c r="A128" s="143" t="e">
        <f t="shared" ref="A128:A137" si="3">A127+1</f>
        <v>#REF!</v>
      </c>
      <c r="B128" s="187" t="s">
        <v>426</v>
      </c>
      <c r="C128" s="151" t="s">
        <v>734</v>
      </c>
      <c r="D128" s="128" t="s">
        <v>16</v>
      </c>
      <c r="E128" s="128"/>
      <c r="F128" s="128" t="s">
        <v>238</v>
      </c>
      <c r="G128" s="128">
        <v>1</v>
      </c>
      <c r="H128" s="128"/>
      <c r="I128" s="129" t="s">
        <v>19</v>
      </c>
      <c r="J128" s="128"/>
      <c r="K128" s="128"/>
      <c r="L128" s="151"/>
      <c r="M128" s="129"/>
      <c r="N128" s="151"/>
      <c r="O128" s="131"/>
      <c r="P128" s="130" t="s">
        <v>378</v>
      </c>
      <c r="Q128" s="164"/>
    </row>
    <row r="129" spans="1:17" ht="25.5" x14ac:dyDescent="0.2">
      <c r="A129" s="143" t="e">
        <f t="shared" si="3"/>
        <v>#REF!</v>
      </c>
      <c r="B129" s="187" t="s">
        <v>427</v>
      </c>
      <c r="C129" s="151" t="s">
        <v>382</v>
      </c>
      <c r="D129" s="128" t="s">
        <v>16</v>
      </c>
      <c r="E129" s="128"/>
      <c r="F129" s="128" t="s">
        <v>238</v>
      </c>
      <c r="G129" s="128">
        <v>1</v>
      </c>
      <c r="H129" s="128"/>
      <c r="I129" s="129" t="s">
        <v>19</v>
      </c>
      <c r="J129" s="128"/>
      <c r="K129" s="128"/>
      <c r="L129" s="151"/>
      <c r="M129" s="129"/>
      <c r="N129" s="151"/>
      <c r="O129" s="131"/>
      <c r="P129" s="130" t="s">
        <v>378</v>
      </c>
      <c r="Q129" s="164"/>
    </row>
    <row r="130" spans="1:17" ht="25.5" x14ac:dyDescent="0.2">
      <c r="A130" s="143" t="e">
        <f t="shared" si="3"/>
        <v>#REF!</v>
      </c>
      <c r="B130" s="187" t="s">
        <v>428</v>
      </c>
      <c r="C130" s="151" t="s">
        <v>226</v>
      </c>
      <c r="D130" s="128" t="s">
        <v>16</v>
      </c>
      <c r="E130" s="128"/>
      <c r="F130" s="128" t="s">
        <v>238</v>
      </c>
      <c r="G130" s="128">
        <v>1</v>
      </c>
      <c r="H130" s="128"/>
      <c r="I130" s="129" t="s">
        <v>19</v>
      </c>
      <c r="J130" s="128"/>
      <c r="K130" s="128"/>
      <c r="L130" s="151"/>
      <c r="M130" s="129"/>
      <c r="N130" s="151"/>
      <c r="O130" s="131"/>
      <c r="P130" s="131" t="s">
        <v>259</v>
      </c>
      <c r="Q130" s="164"/>
    </row>
    <row r="131" spans="1:17" ht="25.5" x14ac:dyDescent="0.2">
      <c r="A131" s="143" t="e">
        <f t="shared" si="3"/>
        <v>#REF!</v>
      </c>
      <c r="B131" s="187" t="s">
        <v>429</v>
      </c>
      <c r="C131" s="151" t="s">
        <v>811</v>
      </c>
      <c r="D131" s="128" t="s">
        <v>16</v>
      </c>
      <c r="E131" s="128"/>
      <c r="F131" s="128" t="s">
        <v>238</v>
      </c>
      <c r="G131" s="128">
        <v>1</v>
      </c>
      <c r="H131" s="128"/>
      <c r="I131" s="129" t="s">
        <v>19</v>
      </c>
      <c r="J131" s="128"/>
      <c r="K131" s="128"/>
      <c r="L131" s="151"/>
      <c r="M131" s="129"/>
      <c r="N131" s="151"/>
      <c r="O131" s="131"/>
      <c r="P131" s="130" t="s">
        <v>378</v>
      </c>
      <c r="Q131" s="164"/>
    </row>
    <row r="132" spans="1:17" ht="25.5" x14ac:dyDescent="0.2">
      <c r="A132" s="143" t="e">
        <f t="shared" si="3"/>
        <v>#REF!</v>
      </c>
      <c r="B132" s="187" t="s">
        <v>430</v>
      </c>
      <c r="C132" s="151" t="s">
        <v>640</v>
      </c>
      <c r="D132" s="128" t="s">
        <v>16</v>
      </c>
      <c r="E132" s="128"/>
      <c r="F132" s="128" t="s">
        <v>238</v>
      </c>
      <c r="G132" s="128">
        <v>1</v>
      </c>
      <c r="H132" s="128"/>
      <c r="I132" s="129" t="s">
        <v>19</v>
      </c>
      <c r="J132" s="128"/>
      <c r="K132" s="128"/>
      <c r="L132" s="151"/>
      <c r="M132" s="129"/>
      <c r="N132" s="151"/>
      <c r="O132" s="131"/>
      <c r="P132" s="131" t="s">
        <v>912</v>
      </c>
      <c r="Q132" s="164"/>
    </row>
    <row r="133" spans="1:17" ht="25.5" x14ac:dyDescent="0.2">
      <c r="A133" s="143" t="e">
        <f t="shared" si="3"/>
        <v>#REF!</v>
      </c>
      <c r="B133" s="187" t="s">
        <v>431</v>
      </c>
      <c r="C133" s="189" t="s">
        <v>703</v>
      </c>
      <c r="D133" s="128" t="s">
        <v>16</v>
      </c>
      <c r="E133" s="128"/>
      <c r="F133" s="128" t="s">
        <v>238</v>
      </c>
      <c r="G133" s="128">
        <v>1</v>
      </c>
      <c r="H133" s="128"/>
      <c r="I133" s="129" t="s">
        <v>19</v>
      </c>
      <c r="J133" s="128"/>
      <c r="K133" s="128"/>
      <c r="L133" s="151"/>
      <c r="M133" s="129"/>
      <c r="N133" s="151"/>
      <c r="O133" s="131"/>
      <c r="P133" s="130" t="s">
        <v>378</v>
      </c>
      <c r="Q133" s="164"/>
    </row>
    <row r="134" spans="1:17" ht="25.5" x14ac:dyDescent="0.2">
      <c r="A134" s="143" t="e">
        <f t="shared" si="3"/>
        <v>#REF!</v>
      </c>
      <c r="B134" s="187" t="s">
        <v>432</v>
      </c>
      <c r="C134" s="151" t="s">
        <v>812</v>
      </c>
      <c r="D134" s="128" t="s">
        <v>16</v>
      </c>
      <c r="E134" s="128"/>
      <c r="F134" s="128" t="s">
        <v>238</v>
      </c>
      <c r="G134" s="128">
        <v>1</v>
      </c>
      <c r="H134" s="128"/>
      <c r="I134" s="129" t="s">
        <v>19</v>
      </c>
      <c r="J134" s="128"/>
      <c r="K134" s="128"/>
      <c r="L134" s="151"/>
      <c r="M134" s="129"/>
      <c r="N134" s="151"/>
      <c r="O134" s="131"/>
      <c r="P134" s="131" t="s">
        <v>259</v>
      </c>
      <c r="Q134" s="164"/>
    </row>
    <row r="135" spans="1:17" x14ac:dyDescent="0.2">
      <c r="A135" s="143" t="e">
        <f t="shared" si="3"/>
        <v>#REF!</v>
      </c>
      <c r="B135" s="187" t="s">
        <v>433</v>
      </c>
      <c r="C135" s="151" t="s">
        <v>384</v>
      </c>
      <c r="D135" s="128" t="s">
        <v>16</v>
      </c>
      <c r="E135" s="128"/>
      <c r="F135" s="128" t="s">
        <v>238</v>
      </c>
      <c r="G135" s="128">
        <v>1</v>
      </c>
      <c r="H135" s="128"/>
      <c r="I135" s="129" t="s">
        <v>19</v>
      </c>
      <c r="J135" s="128"/>
      <c r="K135" s="128"/>
      <c r="L135" s="151"/>
      <c r="M135" s="129"/>
      <c r="N135" s="151"/>
      <c r="O135" s="131"/>
      <c r="P135" s="131" t="s">
        <v>259</v>
      </c>
      <c r="Q135" s="164"/>
    </row>
    <row r="136" spans="1:17" x14ac:dyDescent="0.2">
      <c r="A136" s="143" t="e">
        <f t="shared" si="3"/>
        <v>#REF!</v>
      </c>
      <c r="B136" s="187" t="s">
        <v>434</v>
      </c>
      <c r="C136" s="151" t="s">
        <v>385</v>
      </c>
      <c r="D136" s="128" t="s">
        <v>16</v>
      </c>
      <c r="E136" s="128"/>
      <c r="F136" s="128" t="s">
        <v>238</v>
      </c>
      <c r="G136" s="128">
        <v>1</v>
      </c>
      <c r="H136" s="128"/>
      <c r="I136" s="129" t="s">
        <v>19</v>
      </c>
      <c r="J136" s="128"/>
      <c r="K136" s="128"/>
      <c r="L136" s="151"/>
      <c r="M136" s="129"/>
      <c r="N136" s="151"/>
      <c r="O136" s="131"/>
      <c r="P136" s="131" t="s">
        <v>259</v>
      </c>
      <c r="Q136" s="164"/>
    </row>
    <row r="137" spans="1:17" ht="102" x14ac:dyDescent="0.2">
      <c r="A137" s="143" t="e">
        <f t="shared" si="3"/>
        <v>#REF!</v>
      </c>
      <c r="B137" s="187" t="s">
        <v>435</v>
      </c>
      <c r="C137" s="151" t="s">
        <v>814</v>
      </c>
      <c r="D137" s="128" t="s">
        <v>16</v>
      </c>
      <c r="E137" s="128"/>
      <c r="F137" s="128" t="s">
        <v>238</v>
      </c>
      <c r="G137" s="128">
        <v>1</v>
      </c>
      <c r="H137" s="128"/>
      <c r="I137" s="129" t="s">
        <v>19</v>
      </c>
      <c r="J137" s="128"/>
      <c r="K137" s="128"/>
      <c r="L137" s="151"/>
      <c r="M137" s="129"/>
      <c r="N137" s="151"/>
      <c r="O137" s="131"/>
      <c r="P137" s="131" t="s">
        <v>259</v>
      </c>
      <c r="Q137" s="164"/>
    </row>
    <row r="138" spans="1:17" ht="102" x14ac:dyDescent="0.2">
      <c r="A138" s="143" t="e">
        <f t="shared" ref="A138:A140" si="4">A137+1</f>
        <v>#REF!</v>
      </c>
      <c r="B138" s="187" t="s">
        <v>641</v>
      </c>
      <c r="C138" s="151" t="s">
        <v>813</v>
      </c>
      <c r="D138" s="128" t="s">
        <v>16</v>
      </c>
      <c r="E138" s="128"/>
      <c r="F138" s="128" t="s">
        <v>238</v>
      </c>
      <c r="G138" s="128">
        <v>1</v>
      </c>
      <c r="H138" s="128"/>
      <c r="I138" s="129" t="s">
        <v>19</v>
      </c>
      <c r="J138" s="128"/>
      <c r="K138" s="128"/>
      <c r="L138" s="151"/>
      <c r="M138" s="129"/>
      <c r="N138" s="151"/>
      <c r="O138" s="131"/>
      <c r="P138" s="131" t="s">
        <v>259</v>
      </c>
      <c r="Q138" s="164"/>
    </row>
    <row r="139" spans="1:17" x14ac:dyDescent="0.2">
      <c r="A139" s="143" t="e">
        <f t="shared" si="4"/>
        <v>#REF!</v>
      </c>
      <c r="B139" s="187" t="s">
        <v>642</v>
      </c>
      <c r="C139" s="151" t="s">
        <v>748</v>
      </c>
      <c r="D139" s="128" t="s">
        <v>16</v>
      </c>
      <c r="E139" s="128"/>
      <c r="F139" s="128" t="s">
        <v>238</v>
      </c>
      <c r="G139" s="128">
        <v>1</v>
      </c>
      <c r="H139" s="128"/>
      <c r="I139" s="129" t="s">
        <v>19</v>
      </c>
      <c r="J139" s="128"/>
      <c r="K139" s="128"/>
      <c r="L139" s="151"/>
      <c r="M139" s="129"/>
      <c r="N139" s="151"/>
      <c r="O139" s="131"/>
      <c r="P139" s="131" t="s">
        <v>259</v>
      </c>
      <c r="Q139" s="164"/>
    </row>
    <row r="140" spans="1:17" ht="16.5" customHeight="1" x14ac:dyDescent="0.2">
      <c r="A140" s="143" t="e">
        <f t="shared" si="4"/>
        <v>#REF!</v>
      </c>
      <c r="B140" s="187" t="s">
        <v>643</v>
      </c>
      <c r="C140" s="151" t="s">
        <v>749</v>
      </c>
      <c r="D140" s="128" t="s">
        <v>16</v>
      </c>
      <c r="E140" s="128"/>
      <c r="F140" s="128" t="s">
        <v>238</v>
      </c>
      <c r="G140" s="128">
        <v>1</v>
      </c>
      <c r="H140" s="128"/>
      <c r="I140" s="129" t="s">
        <v>19</v>
      </c>
      <c r="J140" s="128"/>
      <c r="K140" s="128"/>
      <c r="L140" s="151"/>
      <c r="M140" s="129"/>
      <c r="N140" s="151"/>
      <c r="O140" s="131"/>
      <c r="P140" s="131" t="s">
        <v>259</v>
      </c>
      <c r="Q140" s="164"/>
    </row>
  </sheetData>
  <autoFilter ref="A7:S141"/>
  <mergeCells count="3">
    <mergeCell ref="C1:S1"/>
    <mergeCell ref="B2:G2"/>
    <mergeCell ref="B3:L3"/>
  </mergeCells>
  <conditionalFormatting sqref="O8:O14 O25:P27 O54:P58">
    <cfRule type="cellIs" dxfId="1383" priority="1766" stopIfTrue="1" operator="equal">
      <formula>#REF!</formula>
    </cfRule>
  </conditionalFormatting>
  <conditionalFormatting sqref="P8">
    <cfRule type="cellIs" dxfId="1382" priority="1765" stopIfTrue="1" operator="equal">
      <formula>#REF!</formula>
    </cfRule>
  </conditionalFormatting>
  <conditionalFormatting sqref="P9">
    <cfRule type="cellIs" dxfId="1381" priority="1764" stopIfTrue="1" operator="equal">
      <formula>#REF!</formula>
    </cfRule>
  </conditionalFormatting>
  <conditionalFormatting sqref="P10 O38:O39 O89 O42:P44 O100:P100 O104:O109 O112 O125:P125 O118:O124">
    <cfRule type="cellIs" dxfId="1380" priority="1763" stopIfTrue="1" operator="equal">
      <formula>#REF!</formula>
    </cfRule>
  </conditionalFormatting>
  <conditionalFormatting sqref="P11">
    <cfRule type="cellIs" dxfId="1379" priority="1762" stopIfTrue="1" operator="equal">
      <formula>#REF!</formula>
    </cfRule>
  </conditionalFormatting>
  <conditionalFormatting sqref="P12">
    <cfRule type="cellIs" dxfId="1378" priority="1761" stopIfTrue="1" operator="equal">
      <formula>#REF!</formula>
    </cfRule>
  </conditionalFormatting>
  <conditionalFormatting sqref="P13">
    <cfRule type="cellIs" dxfId="1377" priority="1760" stopIfTrue="1" operator="equal">
      <formula>#REF!</formula>
    </cfRule>
  </conditionalFormatting>
  <conditionalFormatting sqref="P14">
    <cfRule type="cellIs" dxfId="1376" priority="1759" stopIfTrue="1" operator="equal">
      <formula>#REF!</formula>
    </cfRule>
  </conditionalFormatting>
  <conditionalFormatting sqref="O15">
    <cfRule type="cellIs" dxfId="1375" priority="1758" stopIfTrue="1" operator="equal">
      <formula>#REF!</formula>
    </cfRule>
  </conditionalFormatting>
  <conditionalFormatting sqref="P15">
    <cfRule type="cellIs" dxfId="1374" priority="1757" stopIfTrue="1" operator="equal">
      <formula>#REF!</formula>
    </cfRule>
  </conditionalFormatting>
  <conditionalFormatting sqref="O16">
    <cfRule type="cellIs" dxfId="1373" priority="1756" stopIfTrue="1" operator="equal">
      <formula>#REF!</formula>
    </cfRule>
  </conditionalFormatting>
  <conditionalFormatting sqref="P16">
    <cfRule type="cellIs" dxfId="1372" priority="1755" stopIfTrue="1" operator="equal">
      <formula>#REF!</formula>
    </cfRule>
  </conditionalFormatting>
  <conditionalFormatting sqref="O17">
    <cfRule type="cellIs" dxfId="1371" priority="1754" stopIfTrue="1" operator="equal">
      <formula>#REF!</formula>
    </cfRule>
  </conditionalFormatting>
  <conditionalFormatting sqref="P17">
    <cfRule type="cellIs" dxfId="1370" priority="1753" stopIfTrue="1" operator="equal">
      <formula>#REF!</formula>
    </cfRule>
  </conditionalFormatting>
  <conditionalFormatting sqref="O18">
    <cfRule type="cellIs" dxfId="1369" priority="1752" stopIfTrue="1" operator="equal">
      <formula>#REF!</formula>
    </cfRule>
  </conditionalFormatting>
  <conditionalFormatting sqref="P18">
    <cfRule type="cellIs" dxfId="1368" priority="1751" stopIfTrue="1" operator="equal">
      <formula>#REF!</formula>
    </cfRule>
  </conditionalFormatting>
  <conditionalFormatting sqref="O19">
    <cfRule type="cellIs" dxfId="1367" priority="1750" stopIfTrue="1" operator="equal">
      <formula>#REF!</formula>
    </cfRule>
  </conditionalFormatting>
  <conditionalFormatting sqref="P19">
    <cfRule type="cellIs" dxfId="1366" priority="1749" stopIfTrue="1" operator="equal">
      <formula>#REF!</formula>
    </cfRule>
  </conditionalFormatting>
  <conditionalFormatting sqref="O20">
    <cfRule type="cellIs" dxfId="1365" priority="1748" stopIfTrue="1" operator="equal">
      <formula>#REF!</formula>
    </cfRule>
  </conditionalFormatting>
  <conditionalFormatting sqref="P20">
    <cfRule type="cellIs" dxfId="1364" priority="1747" stopIfTrue="1" operator="equal">
      <formula>#REF!</formula>
    </cfRule>
  </conditionalFormatting>
  <conditionalFormatting sqref="O21">
    <cfRule type="cellIs" dxfId="1363" priority="1746" stopIfTrue="1" operator="equal">
      <formula>#REF!</formula>
    </cfRule>
  </conditionalFormatting>
  <conditionalFormatting sqref="P21">
    <cfRule type="cellIs" dxfId="1362" priority="1745" stopIfTrue="1" operator="equal">
      <formula>#REF!</formula>
    </cfRule>
  </conditionalFormatting>
  <conditionalFormatting sqref="O23">
    <cfRule type="cellIs" dxfId="1361" priority="1744" stopIfTrue="1" operator="equal">
      <formula>#REF!</formula>
    </cfRule>
  </conditionalFormatting>
  <conditionalFormatting sqref="P23">
    <cfRule type="cellIs" dxfId="1360" priority="1743" stopIfTrue="1" operator="equal">
      <formula>#REF!</formula>
    </cfRule>
  </conditionalFormatting>
  <conditionalFormatting sqref="O24">
    <cfRule type="cellIs" dxfId="1359" priority="1742" stopIfTrue="1" operator="equal">
      <formula>#REF!</formula>
    </cfRule>
  </conditionalFormatting>
  <conditionalFormatting sqref="P24">
    <cfRule type="cellIs" dxfId="1358" priority="1741" stopIfTrue="1" operator="equal">
      <formula>#REF!</formula>
    </cfRule>
  </conditionalFormatting>
  <conditionalFormatting sqref="O22">
    <cfRule type="cellIs" dxfId="1357" priority="1740" stopIfTrue="1" operator="equal">
      <formula>#REF!</formula>
    </cfRule>
  </conditionalFormatting>
  <conditionalFormatting sqref="P22">
    <cfRule type="cellIs" dxfId="1356" priority="1739" stopIfTrue="1" operator="equal">
      <formula>#REF!</formula>
    </cfRule>
  </conditionalFormatting>
  <conditionalFormatting sqref="O28">
    <cfRule type="cellIs" dxfId="1355" priority="1738" stopIfTrue="1" operator="equal">
      <formula>#REF!</formula>
    </cfRule>
  </conditionalFormatting>
  <conditionalFormatting sqref="P28">
    <cfRule type="cellIs" dxfId="1354" priority="1737" stopIfTrue="1" operator="equal">
      <formula>#REF!</formula>
    </cfRule>
  </conditionalFormatting>
  <conditionalFormatting sqref="O30:O31 O31:P33">
    <cfRule type="cellIs" dxfId="1353" priority="1724" stopIfTrue="1" operator="equal">
      <formula>#REF!</formula>
    </cfRule>
  </conditionalFormatting>
  <conditionalFormatting sqref="O29:P29">
    <cfRule type="cellIs" dxfId="1352" priority="1723" stopIfTrue="1" operator="equal">
      <formula>#REF!</formula>
    </cfRule>
  </conditionalFormatting>
  <conditionalFormatting sqref="O29:P29">
    <cfRule type="cellIs" dxfId="1351" priority="1722" stopIfTrue="1" operator="equal">
      <formula>#REF!</formula>
    </cfRule>
  </conditionalFormatting>
  <conditionalFormatting sqref="P29">
    <cfRule type="cellIs" dxfId="1350" priority="1721" stopIfTrue="1" operator="equal">
      <formula>#REF!</formula>
    </cfRule>
  </conditionalFormatting>
  <conditionalFormatting sqref="P29">
    <cfRule type="cellIs" dxfId="1349" priority="1720" stopIfTrue="1" operator="equal">
      <formula>#REF!</formula>
    </cfRule>
  </conditionalFormatting>
  <conditionalFormatting sqref="P29">
    <cfRule type="cellIs" dxfId="1348" priority="1719" stopIfTrue="1" operator="equal">
      <formula>#REF!</formula>
    </cfRule>
  </conditionalFormatting>
  <conditionalFormatting sqref="O29:P29">
    <cfRule type="cellIs" dxfId="1347" priority="1718" stopIfTrue="1" operator="equal">
      <formula>#REF!</formula>
    </cfRule>
  </conditionalFormatting>
  <conditionalFormatting sqref="P30">
    <cfRule type="cellIs" dxfId="1346" priority="1717" stopIfTrue="1" operator="equal">
      <formula>#REF!</formula>
    </cfRule>
  </conditionalFormatting>
  <conditionalFormatting sqref="P30">
    <cfRule type="cellIs" dxfId="1345" priority="1716" stopIfTrue="1" operator="equal">
      <formula>#REF!</formula>
    </cfRule>
  </conditionalFormatting>
  <conditionalFormatting sqref="P30">
    <cfRule type="cellIs" dxfId="1344" priority="1715" stopIfTrue="1" operator="equal">
      <formula>#REF!</formula>
    </cfRule>
  </conditionalFormatting>
  <conditionalFormatting sqref="P30">
    <cfRule type="cellIs" dxfId="1343" priority="1714" stopIfTrue="1" operator="equal">
      <formula>#REF!</formula>
    </cfRule>
  </conditionalFormatting>
  <conditionalFormatting sqref="P30">
    <cfRule type="cellIs" dxfId="1342" priority="1713" stopIfTrue="1" operator="equal">
      <formula>#REF!</formula>
    </cfRule>
  </conditionalFormatting>
  <conditionalFormatting sqref="P30">
    <cfRule type="cellIs" dxfId="1341" priority="1712" stopIfTrue="1" operator="equal">
      <formula>#REF!</formula>
    </cfRule>
  </conditionalFormatting>
  <conditionalFormatting sqref="O54:P54">
    <cfRule type="cellIs" dxfId="1340" priority="1680" stopIfTrue="1" operator="equal">
      <formula>#REF!</formula>
    </cfRule>
  </conditionalFormatting>
  <conditionalFormatting sqref="P31">
    <cfRule type="cellIs" dxfId="1339" priority="1706" stopIfTrue="1" operator="equal">
      <formula>#REF!</formula>
    </cfRule>
  </conditionalFormatting>
  <conditionalFormatting sqref="P31">
    <cfRule type="cellIs" dxfId="1338" priority="1705" stopIfTrue="1" operator="equal">
      <formula>#REF!</formula>
    </cfRule>
  </conditionalFormatting>
  <conditionalFormatting sqref="P31">
    <cfRule type="cellIs" dxfId="1337" priority="1704" stopIfTrue="1" operator="equal">
      <formula>#REF!</formula>
    </cfRule>
  </conditionalFormatting>
  <conditionalFormatting sqref="P31">
    <cfRule type="cellIs" dxfId="1336" priority="1703" stopIfTrue="1" operator="equal">
      <formula>#REF!</formula>
    </cfRule>
  </conditionalFormatting>
  <conditionalFormatting sqref="P31">
    <cfRule type="cellIs" dxfId="1335" priority="1702" stopIfTrue="1" operator="equal">
      <formula>#REF!</formula>
    </cfRule>
  </conditionalFormatting>
  <conditionalFormatting sqref="P31">
    <cfRule type="cellIs" dxfId="1334" priority="1701" stopIfTrue="1" operator="equal">
      <formula>#REF!</formula>
    </cfRule>
  </conditionalFormatting>
  <conditionalFormatting sqref="P32">
    <cfRule type="cellIs" dxfId="1333" priority="1700" stopIfTrue="1" operator="equal">
      <formula>#REF!</formula>
    </cfRule>
  </conditionalFormatting>
  <conditionalFormatting sqref="P32">
    <cfRule type="cellIs" dxfId="1332" priority="1699" stopIfTrue="1" operator="equal">
      <formula>#REF!</formula>
    </cfRule>
  </conditionalFormatting>
  <conditionalFormatting sqref="P32">
    <cfRule type="cellIs" dxfId="1331" priority="1698" stopIfTrue="1" operator="equal">
      <formula>#REF!</formula>
    </cfRule>
  </conditionalFormatting>
  <conditionalFormatting sqref="P32">
    <cfRule type="cellIs" dxfId="1330" priority="1697" stopIfTrue="1" operator="equal">
      <formula>#REF!</formula>
    </cfRule>
  </conditionalFormatting>
  <conditionalFormatting sqref="P32">
    <cfRule type="cellIs" dxfId="1329" priority="1696" stopIfTrue="1" operator="equal">
      <formula>#REF!</formula>
    </cfRule>
  </conditionalFormatting>
  <conditionalFormatting sqref="P32">
    <cfRule type="cellIs" dxfId="1328" priority="1695" stopIfTrue="1" operator="equal">
      <formula>#REF!</formula>
    </cfRule>
  </conditionalFormatting>
  <conditionalFormatting sqref="P33">
    <cfRule type="cellIs" dxfId="1327" priority="1694" stopIfTrue="1" operator="equal">
      <formula>#REF!</formula>
    </cfRule>
  </conditionalFormatting>
  <conditionalFormatting sqref="P33">
    <cfRule type="cellIs" dxfId="1326" priority="1693" stopIfTrue="1" operator="equal">
      <formula>#REF!</formula>
    </cfRule>
  </conditionalFormatting>
  <conditionalFormatting sqref="P33">
    <cfRule type="cellIs" dxfId="1325" priority="1692" stopIfTrue="1" operator="equal">
      <formula>#REF!</formula>
    </cfRule>
  </conditionalFormatting>
  <conditionalFormatting sqref="P33">
    <cfRule type="cellIs" dxfId="1324" priority="1691" stopIfTrue="1" operator="equal">
      <formula>#REF!</formula>
    </cfRule>
  </conditionalFormatting>
  <conditionalFormatting sqref="P33">
    <cfRule type="cellIs" dxfId="1323" priority="1690" stopIfTrue="1" operator="equal">
      <formula>#REF!</formula>
    </cfRule>
  </conditionalFormatting>
  <conditionalFormatting sqref="P33">
    <cfRule type="cellIs" dxfId="1322" priority="1689" stopIfTrue="1" operator="equal">
      <formula>#REF!</formula>
    </cfRule>
  </conditionalFormatting>
  <conditionalFormatting sqref="O34:P34">
    <cfRule type="cellIs" dxfId="1321" priority="1679" stopIfTrue="1" operator="equal">
      <formula>#REF!</formula>
    </cfRule>
  </conditionalFormatting>
  <conditionalFormatting sqref="O34:P34">
    <cfRule type="cellIs" dxfId="1320" priority="1678" stopIfTrue="1" operator="equal">
      <formula>#REF!</formula>
    </cfRule>
  </conditionalFormatting>
  <conditionalFormatting sqref="P34">
    <cfRule type="cellIs" dxfId="1319" priority="1677" stopIfTrue="1" operator="equal">
      <formula>#REF!</formula>
    </cfRule>
  </conditionalFormatting>
  <conditionalFormatting sqref="P34">
    <cfRule type="cellIs" dxfId="1318" priority="1676" stopIfTrue="1" operator="equal">
      <formula>#REF!</formula>
    </cfRule>
  </conditionalFormatting>
  <conditionalFormatting sqref="O34:P34">
    <cfRule type="cellIs" dxfId="1317" priority="1675" stopIfTrue="1" operator="equal">
      <formula>#REF!</formula>
    </cfRule>
  </conditionalFormatting>
  <conditionalFormatting sqref="P34">
    <cfRule type="cellIs" dxfId="1316" priority="1674" stopIfTrue="1" operator="equal">
      <formula>#REF!</formula>
    </cfRule>
  </conditionalFormatting>
  <conditionalFormatting sqref="O34:P34">
    <cfRule type="cellIs" dxfId="1315" priority="1673" stopIfTrue="1" operator="equal">
      <formula>#REF!</formula>
    </cfRule>
  </conditionalFormatting>
  <conditionalFormatting sqref="O34:P34">
    <cfRule type="cellIs" dxfId="1314" priority="1672" stopIfTrue="1" operator="equal">
      <formula>#REF!</formula>
    </cfRule>
  </conditionalFormatting>
  <conditionalFormatting sqref="O34:P34">
    <cfRule type="cellIs" dxfId="1313" priority="1671" stopIfTrue="1" operator="equal">
      <formula>#REF!</formula>
    </cfRule>
  </conditionalFormatting>
  <conditionalFormatting sqref="O119">
    <cfRule type="cellIs" dxfId="1312" priority="1654" stopIfTrue="1" operator="equal">
      <formula>#REF!</formula>
    </cfRule>
  </conditionalFormatting>
  <conditionalFormatting sqref="O120">
    <cfRule type="cellIs" dxfId="1311" priority="1652" stopIfTrue="1" operator="equal">
      <formula>#REF!</formula>
    </cfRule>
  </conditionalFormatting>
  <conditionalFormatting sqref="O121">
    <cfRule type="cellIs" dxfId="1310" priority="1650" stopIfTrue="1" operator="equal">
      <formula>#REF!</formula>
    </cfRule>
  </conditionalFormatting>
  <conditionalFormatting sqref="O122">
    <cfRule type="cellIs" dxfId="1309" priority="1648" stopIfTrue="1" operator="equal">
      <formula>#REF!</formula>
    </cfRule>
  </conditionalFormatting>
  <conditionalFormatting sqref="O125:P125 O123:O124">
    <cfRule type="cellIs" dxfId="1308" priority="1646" stopIfTrue="1" operator="equal">
      <formula>#REF!</formula>
    </cfRule>
  </conditionalFormatting>
  <conditionalFormatting sqref="O123">
    <cfRule type="cellIs" dxfId="1307" priority="1645" stopIfTrue="1" operator="equal">
      <formula>#REF!</formula>
    </cfRule>
  </conditionalFormatting>
  <conditionalFormatting sqref="O124:O125">
    <cfRule type="cellIs" dxfId="1306" priority="1643" stopIfTrue="1" operator="equal">
      <formula>#REF!</formula>
    </cfRule>
  </conditionalFormatting>
  <conditionalFormatting sqref="P125">
    <cfRule type="cellIs" dxfId="1305" priority="1642" stopIfTrue="1" operator="equal">
      <formula>#REF!</formula>
    </cfRule>
  </conditionalFormatting>
  <conditionalFormatting sqref="P97">
    <cfRule type="cellIs" dxfId="1304" priority="1387" stopIfTrue="1" operator="equal">
      <formula>#REF!</formula>
    </cfRule>
  </conditionalFormatting>
  <conditionalFormatting sqref="O119">
    <cfRule type="cellIs" dxfId="1303" priority="1562" stopIfTrue="1" operator="equal">
      <formula>#REF!</formula>
    </cfRule>
  </conditionalFormatting>
  <conditionalFormatting sqref="O120">
    <cfRule type="cellIs" dxfId="1302" priority="1560" stopIfTrue="1" operator="equal">
      <formula>#REF!</formula>
    </cfRule>
  </conditionalFormatting>
  <conditionalFormatting sqref="O121">
    <cfRule type="cellIs" dxfId="1301" priority="1558" stopIfTrue="1" operator="equal">
      <formula>#REF!</formula>
    </cfRule>
  </conditionalFormatting>
  <conditionalFormatting sqref="O119">
    <cfRule type="cellIs" dxfId="1300" priority="1541" stopIfTrue="1" operator="equal">
      <formula>#REF!</formula>
    </cfRule>
  </conditionalFormatting>
  <conditionalFormatting sqref="O120">
    <cfRule type="cellIs" dxfId="1299" priority="1539" stopIfTrue="1" operator="equal">
      <formula>#REF!</formula>
    </cfRule>
  </conditionalFormatting>
  <conditionalFormatting sqref="O121">
    <cfRule type="cellIs" dxfId="1298" priority="1537" stopIfTrue="1" operator="equal">
      <formula>#REF!</formula>
    </cfRule>
  </conditionalFormatting>
  <conditionalFormatting sqref="O122">
    <cfRule type="cellIs" dxfId="1297" priority="1535" stopIfTrue="1" operator="equal">
      <formula>#REF!</formula>
    </cfRule>
  </conditionalFormatting>
  <conditionalFormatting sqref="O123">
    <cfRule type="cellIs" dxfId="1296" priority="1533" stopIfTrue="1" operator="equal">
      <formula>#REF!</formula>
    </cfRule>
  </conditionalFormatting>
  <conditionalFormatting sqref="O120">
    <cfRule type="cellIs" dxfId="1295" priority="1515" stopIfTrue="1" operator="equal">
      <formula>#REF!</formula>
    </cfRule>
  </conditionalFormatting>
  <conditionalFormatting sqref="O121">
    <cfRule type="cellIs" dxfId="1294" priority="1514" stopIfTrue="1" operator="equal">
      <formula>#REF!</formula>
    </cfRule>
  </conditionalFormatting>
  <conditionalFormatting sqref="O122">
    <cfRule type="cellIs" dxfId="1293" priority="1512" stopIfTrue="1" operator="equal">
      <formula>#REF!</formula>
    </cfRule>
  </conditionalFormatting>
  <conditionalFormatting sqref="O123">
    <cfRule type="cellIs" dxfId="1292" priority="1510" stopIfTrue="1" operator="equal">
      <formula>#REF!</formula>
    </cfRule>
  </conditionalFormatting>
  <conditionalFormatting sqref="O119">
    <cfRule type="cellIs" dxfId="1291" priority="1499" stopIfTrue="1" operator="equal">
      <formula>#REF!</formula>
    </cfRule>
  </conditionalFormatting>
  <conditionalFormatting sqref="O120">
    <cfRule type="cellIs" dxfId="1290" priority="1497" stopIfTrue="1" operator="equal">
      <formula>#REF!</formula>
    </cfRule>
  </conditionalFormatting>
  <conditionalFormatting sqref="O121">
    <cfRule type="cellIs" dxfId="1289" priority="1495" stopIfTrue="1" operator="equal">
      <formula>#REF!</formula>
    </cfRule>
  </conditionalFormatting>
  <conditionalFormatting sqref="O122">
    <cfRule type="cellIs" dxfId="1288" priority="1493" stopIfTrue="1" operator="equal">
      <formula>#REF!</formula>
    </cfRule>
  </conditionalFormatting>
  <conditionalFormatting sqref="O123">
    <cfRule type="cellIs" dxfId="1287" priority="1491" stopIfTrue="1" operator="equal">
      <formula>#REF!</formula>
    </cfRule>
  </conditionalFormatting>
  <conditionalFormatting sqref="O124:O125">
    <cfRule type="cellIs" dxfId="1286" priority="1489" stopIfTrue="1" operator="equal">
      <formula>#REF!</formula>
    </cfRule>
  </conditionalFormatting>
  <conditionalFormatting sqref="P125">
    <cfRule type="cellIs" dxfId="1285" priority="1488" stopIfTrue="1" operator="equal">
      <formula>#REF!</formula>
    </cfRule>
  </conditionalFormatting>
  <conditionalFormatting sqref="O121">
    <cfRule type="cellIs" dxfId="1284" priority="1469" stopIfTrue="1" operator="equal">
      <formula>#REF!</formula>
    </cfRule>
  </conditionalFormatting>
  <conditionalFormatting sqref="O122">
    <cfRule type="cellIs" dxfId="1283" priority="1468" stopIfTrue="1" operator="equal">
      <formula>#REF!</formula>
    </cfRule>
  </conditionalFormatting>
  <conditionalFormatting sqref="O123">
    <cfRule type="cellIs" dxfId="1282" priority="1466" stopIfTrue="1" operator="equal">
      <formula>#REF!</formula>
    </cfRule>
  </conditionalFormatting>
  <conditionalFormatting sqref="O124:O125">
    <cfRule type="cellIs" dxfId="1281" priority="1464" stopIfTrue="1" operator="equal">
      <formula>#REF!</formula>
    </cfRule>
  </conditionalFormatting>
  <conditionalFormatting sqref="P125">
    <cfRule type="cellIs" dxfId="1280" priority="1463" stopIfTrue="1" operator="equal">
      <formula>#REF!</formula>
    </cfRule>
  </conditionalFormatting>
  <conditionalFormatting sqref="O119">
    <cfRule type="cellIs" dxfId="1279" priority="1452" stopIfTrue="1" operator="equal">
      <formula>#REF!</formula>
    </cfRule>
  </conditionalFormatting>
  <conditionalFormatting sqref="O120">
    <cfRule type="cellIs" dxfId="1278" priority="1451" stopIfTrue="1" operator="equal">
      <formula>#REF!</formula>
    </cfRule>
  </conditionalFormatting>
  <conditionalFormatting sqref="O121">
    <cfRule type="cellIs" dxfId="1277" priority="1449" stopIfTrue="1" operator="equal">
      <formula>#REF!</formula>
    </cfRule>
  </conditionalFormatting>
  <conditionalFormatting sqref="O122">
    <cfRule type="cellIs" dxfId="1276" priority="1447" stopIfTrue="1" operator="equal">
      <formula>#REF!</formula>
    </cfRule>
  </conditionalFormatting>
  <conditionalFormatting sqref="O123">
    <cfRule type="cellIs" dxfId="1275" priority="1445" stopIfTrue="1" operator="equal">
      <formula>#REF!</formula>
    </cfRule>
  </conditionalFormatting>
  <conditionalFormatting sqref="O124:O125">
    <cfRule type="cellIs" dxfId="1274" priority="1443" stopIfTrue="1" operator="equal">
      <formula>#REF!</formula>
    </cfRule>
  </conditionalFormatting>
  <conditionalFormatting sqref="P125">
    <cfRule type="cellIs" dxfId="1273" priority="1442" stopIfTrue="1" operator="equal">
      <formula>#REF!</formula>
    </cfRule>
  </conditionalFormatting>
  <conditionalFormatting sqref="O125:P125 O124">
    <cfRule type="cellIs" dxfId="1272" priority="1421" stopIfTrue="1" operator="equal">
      <formula>#REF!</formula>
    </cfRule>
  </conditionalFormatting>
  <conditionalFormatting sqref="O113:O117">
    <cfRule type="cellIs" dxfId="1271" priority="1416" stopIfTrue="1" operator="equal">
      <formula>#REF!</formula>
    </cfRule>
  </conditionalFormatting>
  <conditionalFormatting sqref="O106">
    <cfRule type="cellIs" dxfId="1270" priority="1415" stopIfTrue="1" operator="equal">
      <formula>#REF!</formula>
    </cfRule>
  </conditionalFormatting>
  <conditionalFormatting sqref="O115">
    <cfRule type="cellIs" dxfId="1269" priority="1414" stopIfTrue="1" operator="equal">
      <formula>#REF!</formula>
    </cfRule>
  </conditionalFormatting>
  <conditionalFormatting sqref="O117">
    <cfRule type="cellIs" dxfId="1268" priority="1412" stopIfTrue="1" operator="equal">
      <formula>#REF!</formula>
    </cfRule>
  </conditionalFormatting>
  <conditionalFormatting sqref="O45:P47">
    <cfRule type="cellIs" dxfId="1267" priority="1409" stopIfTrue="1" operator="equal">
      <formula>#REF!</formula>
    </cfRule>
  </conditionalFormatting>
  <conditionalFormatting sqref="O59:P59">
    <cfRule type="cellIs" dxfId="1266" priority="1405" stopIfTrue="1" operator="equal">
      <formula>#REF!</formula>
    </cfRule>
  </conditionalFormatting>
  <conditionalFormatting sqref="O60:P61 O62:O63">
    <cfRule type="cellIs" dxfId="1265" priority="1404" stopIfTrue="1" operator="equal">
      <formula>#REF!</formula>
    </cfRule>
  </conditionalFormatting>
  <conditionalFormatting sqref="O64:P66 O86">
    <cfRule type="cellIs" dxfId="1264" priority="1402" stopIfTrue="1" operator="equal">
      <formula>#REF!</formula>
    </cfRule>
  </conditionalFormatting>
  <conditionalFormatting sqref="O68:O70">
    <cfRule type="cellIs" dxfId="1263" priority="1401" stopIfTrue="1" operator="equal">
      <formula>#REF!</formula>
    </cfRule>
  </conditionalFormatting>
  <conditionalFormatting sqref="O88:P88 O92">
    <cfRule type="cellIs" dxfId="1262" priority="1400" stopIfTrue="1" operator="equal">
      <formula>#REF!</formula>
    </cfRule>
  </conditionalFormatting>
  <conditionalFormatting sqref="P98">
    <cfRule type="cellIs" dxfId="1261" priority="1373" stopIfTrue="1" operator="equal">
      <formula>#REF!</formula>
    </cfRule>
  </conditionalFormatting>
  <conditionalFormatting sqref="O93:P98 O99">
    <cfRule type="cellIs" dxfId="1260" priority="1399" stopIfTrue="1" operator="equal">
      <formula>#REF!</formula>
    </cfRule>
  </conditionalFormatting>
  <conditionalFormatting sqref="O93:P93">
    <cfRule type="cellIs" dxfId="1259" priority="1398" stopIfTrue="1" operator="equal">
      <formula>#REF!</formula>
    </cfRule>
  </conditionalFormatting>
  <conditionalFormatting sqref="O97:P97">
    <cfRule type="cellIs" dxfId="1258" priority="1397" stopIfTrue="1" operator="equal">
      <formula>#REF!</formula>
    </cfRule>
  </conditionalFormatting>
  <conditionalFormatting sqref="O98:P98 O99">
    <cfRule type="cellIs" dxfId="1257" priority="1396" stopIfTrue="1" operator="equal">
      <formula>#REF!</formula>
    </cfRule>
  </conditionalFormatting>
  <conditionalFormatting sqref="O93:P93">
    <cfRule type="cellIs" dxfId="1256" priority="1395" stopIfTrue="1" operator="equal">
      <formula>#REF!</formula>
    </cfRule>
  </conditionalFormatting>
  <conditionalFormatting sqref="O93:P96">
    <cfRule type="cellIs" dxfId="1255" priority="1394" stopIfTrue="1" operator="equal">
      <formula>#REF!</formula>
    </cfRule>
  </conditionalFormatting>
  <conditionalFormatting sqref="O93:P96">
    <cfRule type="cellIs" dxfId="1254" priority="1393" stopIfTrue="1" operator="equal">
      <formula>#REF!</formula>
    </cfRule>
  </conditionalFormatting>
  <conditionalFormatting sqref="O97:P97">
    <cfRule type="cellIs" dxfId="1253" priority="1392" stopIfTrue="1" operator="equal">
      <formula>#REF!</formula>
    </cfRule>
  </conditionalFormatting>
  <conditionalFormatting sqref="O97:P97 O41:P41 O40">
    <cfRule type="cellIs" dxfId="1252" priority="1391" stopIfTrue="1" operator="equal">
      <formula>#REF!</formula>
    </cfRule>
  </conditionalFormatting>
  <conditionalFormatting sqref="O98:P98 O99">
    <cfRule type="cellIs" dxfId="1251" priority="1390" stopIfTrue="1" operator="equal">
      <formula>#REF!</formula>
    </cfRule>
  </conditionalFormatting>
  <conditionalFormatting sqref="P93:P96">
    <cfRule type="cellIs" dxfId="1250" priority="1389" stopIfTrue="1" operator="equal">
      <formula>#REF!</formula>
    </cfRule>
  </conditionalFormatting>
  <conditionalFormatting sqref="P93:P96">
    <cfRule type="cellIs" dxfId="1249" priority="1388" stopIfTrue="1" operator="equal">
      <formula>#REF!</formula>
    </cfRule>
  </conditionalFormatting>
  <conditionalFormatting sqref="P97">
    <cfRule type="cellIs" dxfId="1248" priority="1375" stopIfTrue="1" operator="equal">
      <formula>#REF!</formula>
    </cfRule>
  </conditionalFormatting>
  <conditionalFormatting sqref="P97">
    <cfRule type="cellIs" dxfId="1247" priority="1386" stopIfTrue="1" operator="equal">
      <formula>#REF!</formula>
    </cfRule>
  </conditionalFormatting>
  <conditionalFormatting sqref="P98">
    <cfRule type="cellIs" dxfId="1246" priority="1385" stopIfTrue="1" operator="equal">
      <formula>#REF!</formula>
    </cfRule>
  </conditionalFormatting>
  <conditionalFormatting sqref="P98">
    <cfRule type="cellIs" dxfId="1245" priority="1384" stopIfTrue="1" operator="equal">
      <formula>#REF!</formula>
    </cfRule>
  </conditionalFormatting>
  <conditionalFormatting sqref="O96:P96">
    <cfRule type="cellIs" dxfId="1244" priority="1383" stopIfTrue="1" operator="equal">
      <formula>#REF!</formula>
    </cfRule>
  </conditionalFormatting>
  <conditionalFormatting sqref="O97:P97">
    <cfRule type="cellIs" dxfId="1243" priority="1382" stopIfTrue="1" operator="equal">
      <formula>#REF!</formula>
    </cfRule>
  </conditionalFormatting>
  <conditionalFormatting sqref="O96:P96">
    <cfRule type="cellIs" dxfId="1242" priority="1381" stopIfTrue="1" operator="equal">
      <formula>#REF!</formula>
    </cfRule>
  </conditionalFormatting>
  <conditionalFormatting sqref="O96:P96">
    <cfRule type="cellIs" dxfId="1241" priority="1380" stopIfTrue="1" operator="equal">
      <formula>#REF!</formula>
    </cfRule>
  </conditionalFormatting>
  <conditionalFormatting sqref="O97:P97">
    <cfRule type="cellIs" dxfId="1240" priority="1379" stopIfTrue="1" operator="equal">
      <formula>#REF!</formula>
    </cfRule>
  </conditionalFormatting>
  <conditionalFormatting sqref="P96">
    <cfRule type="cellIs" dxfId="1239" priority="1378" stopIfTrue="1" operator="equal">
      <formula>#REF!</formula>
    </cfRule>
  </conditionalFormatting>
  <conditionalFormatting sqref="P96">
    <cfRule type="cellIs" dxfId="1238" priority="1377" stopIfTrue="1" operator="equal">
      <formula>#REF!</formula>
    </cfRule>
  </conditionalFormatting>
  <conditionalFormatting sqref="P97">
    <cfRule type="cellIs" dxfId="1237" priority="1376" stopIfTrue="1" operator="equal">
      <formula>#REF!</formula>
    </cfRule>
  </conditionalFormatting>
  <conditionalFormatting sqref="P98">
    <cfRule type="cellIs" dxfId="1236" priority="1374" stopIfTrue="1" operator="equal">
      <formula>#REF!</formula>
    </cfRule>
  </conditionalFormatting>
  <conditionalFormatting sqref="O40 P41">
    <cfRule type="cellIs" dxfId="1235" priority="1368" stopIfTrue="1" operator="equal">
      <formula>#REF!</formula>
    </cfRule>
  </conditionalFormatting>
  <conditionalFormatting sqref="O41:P41">
    <cfRule type="cellIs" dxfId="1234" priority="1367" stopIfTrue="1" operator="equal">
      <formula>#REF!</formula>
    </cfRule>
  </conditionalFormatting>
  <conditionalFormatting sqref="P41">
    <cfRule type="cellIs" dxfId="1233" priority="1366" stopIfTrue="1" operator="equal">
      <formula>#REF!</formula>
    </cfRule>
  </conditionalFormatting>
  <conditionalFormatting sqref="O40">
    <cfRule type="cellIs" dxfId="1232" priority="1363" stopIfTrue="1" operator="equal">
      <formula>#REF!</formula>
    </cfRule>
  </conditionalFormatting>
  <conditionalFormatting sqref="O41:P41">
    <cfRule type="cellIs" dxfId="1231" priority="1361" stopIfTrue="1" operator="equal">
      <formula>#REF!</formula>
    </cfRule>
  </conditionalFormatting>
  <conditionalFormatting sqref="O40">
    <cfRule type="cellIs" dxfId="1230" priority="1360" stopIfTrue="1" operator="equal">
      <formula>#REF!</formula>
    </cfRule>
  </conditionalFormatting>
  <conditionalFormatting sqref="O41:P41">
    <cfRule type="cellIs" dxfId="1229" priority="1358" stopIfTrue="1" operator="equal">
      <formula>#REF!</formula>
    </cfRule>
  </conditionalFormatting>
  <conditionalFormatting sqref="O41:P41">
    <cfRule type="cellIs" dxfId="1228" priority="1354" stopIfTrue="1" operator="equal">
      <formula>#REF!</formula>
    </cfRule>
  </conditionalFormatting>
  <conditionalFormatting sqref="O41:P41">
    <cfRule type="cellIs" dxfId="1227" priority="1353" stopIfTrue="1" operator="equal">
      <formula>#REF!</formula>
    </cfRule>
  </conditionalFormatting>
  <conditionalFormatting sqref="O41:P41">
    <cfRule type="cellIs" dxfId="1226" priority="1349" stopIfTrue="1" operator="equal">
      <formula>#REF!</formula>
    </cfRule>
  </conditionalFormatting>
  <conditionalFormatting sqref="O35:P35 O36">
    <cfRule type="cellIs" dxfId="1225" priority="1348" stopIfTrue="1" operator="equal">
      <formula>#REF!</formula>
    </cfRule>
  </conditionalFormatting>
  <conditionalFormatting sqref="O35:P35 O36">
    <cfRule type="cellIs" dxfId="1224" priority="1347" stopIfTrue="1" operator="equal">
      <formula>#REF!</formula>
    </cfRule>
  </conditionalFormatting>
  <conditionalFormatting sqref="P35">
    <cfRule type="cellIs" dxfId="1223" priority="1346" stopIfTrue="1" operator="equal">
      <formula>#REF!</formula>
    </cfRule>
  </conditionalFormatting>
  <conditionalFormatting sqref="O35:P35 O36">
    <cfRule type="cellIs" dxfId="1222" priority="1345" stopIfTrue="1" operator="equal">
      <formula>#REF!</formula>
    </cfRule>
  </conditionalFormatting>
  <conditionalFormatting sqref="O35:P35 O36">
    <cfRule type="cellIs" dxfId="1221" priority="1344" stopIfTrue="1" operator="equal">
      <formula>#REF!</formula>
    </cfRule>
  </conditionalFormatting>
  <conditionalFormatting sqref="O35:P35 O36">
    <cfRule type="cellIs" dxfId="1220" priority="1343" stopIfTrue="1" operator="equal">
      <formula>#REF!</formula>
    </cfRule>
  </conditionalFormatting>
  <conditionalFormatting sqref="P35">
    <cfRule type="cellIs" dxfId="1219" priority="1342" stopIfTrue="1" operator="equal">
      <formula>#REF!</formula>
    </cfRule>
  </conditionalFormatting>
  <conditionalFormatting sqref="P35">
    <cfRule type="cellIs" dxfId="1218" priority="1341" stopIfTrue="1" operator="equal">
      <formula>#REF!</formula>
    </cfRule>
  </conditionalFormatting>
  <conditionalFormatting sqref="O35:P35 O36">
    <cfRule type="cellIs" dxfId="1217" priority="1340" stopIfTrue="1" operator="equal">
      <formula>#REF!</formula>
    </cfRule>
  </conditionalFormatting>
  <conditionalFormatting sqref="O136:P136">
    <cfRule type="cellIs" dxfId="1216" priority="935" stopIfTrue="1" operator="equal">
      <formula>#REF!</formula>
    </cfRule>
  </conditionalFormatting>
  <conditionalFormatting sqref="O134:P134">
    <cfRule type="cellIs" dxfId="1215" priority="873" stopIfTrue="1" operator="equal">
      <formula>#REF!</formula>
    </cfRule>
  </conditionalFormatting>
  <conditionalFormatting sqref="O136:P136">
    <cfRule type="cellIs" dxfId="1214" priority="925" stopIfTrue="1" operator="equal">
      <formula>#REF!</formula>
    </cfRule>
  </conditionalFormatting>
  <conditionalFormatting sqref="O134:P134">
    <cfRule type="cellIs" dxfId="1213" priority="835" stopIfTrue="1" operator="equal">
      <formula>#REF!</formula>
    </cfRule>
  </conditionalFormatting>
  <conditionalFormatting sqref="O129:P129">
    <cfRule type="cellIs" dxfId="1212" priority="1338" stopIfTrue="1" operator="equal">
      <formula>#REF!</formula>
    </cfRule>
  </conditionalFormatting>
  <conditionalFormatting sqref="P129">
    <cfRule type="cellIs" dxfId="1211" priority="1337" stopIfTrue="1" operator="equal">
      <formula>#REF!</formula>
    </cfRule>
  </conditionalFormatting>
  <conditionalFormatting sqref="P129">
    <cfRule type="cellIs" dxfId="1210" priority="1336" stopIfTrue="1" operator="equal">
      <formula>#REF!</formula>
    </cfRule>
  </conditionalFormatting>
  <conditionalFormatting sqref="O130:P130">
    <cfRule type="cellIs" dxfId="1209" priority="1335" stopIfTrue="1" operator="equal">
      <formula>#REF!</formula>
    </cfRule>
  </conditionalFormatting>
  <conditionalFormatting sqref="O130:P130">
    <cfRule type="cellIs" dxfId="1208" priority="1334" stopIfTrue="1" operator="equal">
      <formula>#REF!</formula>
    </cfRule>
  </conditionalFormatting>
  <conditionalFormatting sqref="O130:P130">
    <cfRule type="cellIs" dxfId="1207" priority="1333" stopIfTrue="1" operator="equal">
      <formula>#REF!</formula>
    </cfRule>
  </conditionalFormatting>
  <conditionalFormatting sqref="O130:P130">
    <cfRule type="cellIs" dxfId="1206" priority="1332" stopIfTrue="1" operator="equal">
      <formula>#REF!</formula>
    </cfRule>
  </conditionalFormatting>
  <conditionalFormatting sqref="O130:P130">
    <cfRule type="cellIs" dxfId="1205" priority="1331" stopIfTrue="1" operator="equal">
      <formula>#REF!</formula>
    </cfRule>
  </conditionalFormatting>
  <conditionalFormatting sqref="O130:P130">
    <cfRule type="cellIs" dxfId="1204" priority="1330" stopIfTrue="1" operator="equal">
      <formula>#REF!</formula>
    </cfRule>
  </conditionalFormatting>
  <conditionalFormatting sqref="O130:P130">
    <cfRule type="cellIs" dxfId="1203" priority="1329" stopIfTrue="1" operator="equal">
      <formula>#REF!</formula>
    </cfRule>
  </conditionalFormatting>
  <conditionalFormatting sqref="O130:P130">
    <cfRule type="cellIs" dxfId="1202" priority="1328" stopIfTrue="1" operator="equal">
      <formula>#REF!</formula>
    </cfRule>
  </conditionalFormatting>
  <conditionalFormatting sqref="O130:P130">
    <cfRule type="cellIs" dxfId="1201" priority="1327" stopIfTrue="1" operator="equal">
      <formula>#REF!</formula>
    </cfRule>
  </conditionalFormatting>
  <conditionalFormatting sqref="O130:P130">
    <cfRule type="cellIs" dxfId="1200" priority="1326" stopIfTrue="1" operator="equal">
      <formula>#REF!</formula>
    </cfRule>
  </conditionalFormatting>
  <conditionalFormatting sqref="O130:P130">
    <cfRule type="cellIs" dxfId="1199" priority="1325" stopIfTrue="1" operator="equal">
      <formula>#REF!</formula>
    </cfRule>
  </conditionalFormatting>
  <conditionalFormatting sqref="O130:P130">
    <cfRule type="cellIs" dxfId="1198" priority="1324" stopIfTrue="1" operator="equal">
      <formula>#REF!</formula>
    </cfRule>
  </conditionalFormatting>
  <conditionalFormatting sqref="O130:P130">
    <cfRule type="cellIs" dxfId="1197" priority="1323" stopIfTrue="1" operator="equal">
      <formula>#REF!</formula>
    </cfRule>
  </conditionalFormatting>
  <conditionalFormatting sqref="O130:P130">
    <cfRule type="cellIs" dxfId="1196" priority="1322" stopIfTrue="1" operator="equal">
      <formula>#REF!</formula>
    </cfRule>
  </conditionalFormatting>
  <conditionalFormatting sqref="O130:P130">
    <cfRule type="cellIs" dxfId="1195" priority="1321" stopIfTrue="1" operator="equal">
      <formula>#REF!</formula>
    </cfRule>
  </conditionalFormatting>
  <conditionalFormatting sqref="O130:P130">
    <cfRule type="cellIs" dxfId="1194" priority="1320" stopIfTrue="1" operator="equal">
      <formula>#REF!</formula>
    </cfRule>
  </conditionalFormatting>
  <conditionalFormatting sqref="O130:P130">
    <cfRule type="cellIs" dxfId="1193" priority="1319" stopIfTrue="1" operator="equal">
      <formula>#REF!</formula>
    </cfRule>
  </conditionalFormatting>
  <conditionalFormatting sqref="O130:P130">
    <cfRule type="cellIs" dxfId="1192" priority="1318" stopIfTrue="1" operator="equal">
      <formula>#REF!</formula>
    </cfRule>
  </conditionalFormatting>
  <conditionalFormatting sqref="O130:P130">
    <cfRule type="cellIs" dxfId="1191" priority="1317" stopIfTrue="1" operator="equal">
      <formula>#REF!</formula>
    </cfRule>
  </conditionalFormatting>
  <conditionalFormatting sqref="O130:P130">
    <cfRule type="cellIs" dxfId="1190" priority="1316" stopIfTrue="1" operator="equal">
      <formula>#REF!</formula>
    </cfRule>
  </conditionalFormatting>
  <conditionalFormatting sqref="O130:P130">
    <cfRule type="cellIs" dxfId="1189" priority="1315" stopIfTrue="1" operator="equal">
      <formula>#REF!</formula>
    </cfRule>
  </conditionalFormatting>
  <conditionalFormatting sqref="P130">
    <cfRule type="cellIs" dxfId="1188" priority="1314" stopIfTrue="1" operator="equal">
      <formula>#REF!</formula>
    </cfRule>
  </conditionalFormatting>
  <conditionalFormatting sqref="P130">
    <cfRule type="cellIs" dxfId="1187" priority="1313" stopIfTrue="1" operator="equal">
      <formula>#REF!</formula>
    </cfRule>
  </conditionalFormatting>
  <conditionalFormatting sqref="P130">
    <cfRule type="cellIs" dxfId="1186" priority="1312" stopIfTrue="1" operator="equal">
      <formula>#REF!</formula>
    </cfRule>
  </conditionalFormatting>
  <conditionalFormatting sqref="P130">
    <cfRule type="cellIs" dxfId="1185" priority="1311" stopIfTrue="1" operator="equal">
      <formula>#REF!</formula>
    </cfRule>
  </conditionalFormatting>
  <conditionalFormatting sqref="P130">
    <cfRule type="cellIs" dxfId="1184" priority="1310" stopIfTrue="1" operator="equal">
      <formula>#REF!</formula>
    </cfRule>
  </conditionalFormatting>
  <conditionalFormatting sqref="P130">
    <cfRule type="cellIs" dxfId="1183" priority="1309" stopIfTrue="1" operator="equal">
      <formula>#REF!</formula>
    </cfRule>
  </conditionalFormatting>
  <conditionalFormatting sqref="P130">
    <cfRule type="cellIs" dxfId="1182" priority="1308" stopIfTrue="1" operator="equal">
      <formula>#REF!</formula>
    </cfRule>
  </conditionalFormatting>
  <conditionalFormatting sqref="P130">
    <cfRule type="cellIs" dxfId="1181" priority="1307" stopIfTrue="1" operator="equal">
      <formula>#REF!</formula>
    </cfRule>
  </conditionalFormatting>
  <conditionalFormatting sqref="P130">
    <cfRule type="cellIs" dxfId="1180" priority="1306" stopIfTrue="1" operator="equal">
      <formula>#REF!</formula>
    </cfRule>
  </conditionalFormatting>
  <conditionalFormatting sqref="P130">
    <cfRule type="cellIs" dxfId="1179" priority="1305" stopIfTrue="1" operator="equal">
      <formula>#REF!</formula>
    </cfRule>
  </conditionalFormatting>
  <conditionalFormatting sqref="P130">
    <cfRule type="cellIs" dxfId="1178" priority="1304" stopIfTrue="1" operator="equal">
      <formula>#REF!</formula>
    </cfRule>
  </conditionalFormatting>
  <conditionalFormatting sqref="P130">
    <cfRule type="cellIs" dxfId="1177" priority="1303" stopIfTrue="1" operator="equal">
      <formula>#REF!</formula>
    </cfRule>
  </conditionalFormatting>
  <conditionalFormatting sqref="P130">
    <cfRule type="cellIs" dxfId="1176" priority="1302" stopIfTrue="1" operator="equal">
      <formula>#REF!</formula>
    </cfRule>
  </conditionalFormatting>
  <conditionalFormatting sqref="P130">
    <cfRule type="cellIs" dxfId="1175" priority="1301" stopIfTrue="1" operator="equal">
      <formula>#REF!</formula>
    </cfRule>
  </conditionalFormatting>
  <conditionalFormatting sqref="P130">
    <cfRule type="cellIs" dxfId="1174" priority="1300" stopIfTrue="1" operator="equal">
      <formula>#REF!</formula>
    </cfRule>
  </conditionalFormatting>
  <conditionalFormatting sqref="P130">
    <cfRule type="cellIs" dxfId="1173" priority="1299" stopIfTrue="1" operator="equal">
      <formula>#REF!</formula>
    </cfRule>
  </conditionalFormatting>
  <conditionalFormatting sqref="P130">
    <cfRule type="cellIs" dxfId="1172" priority="1298" stopIfTrue="1" operator="equal">
      <formula>#REF!</formula>
    </cfRule>
  </conditionalFormatting>
  <conditionalFormatting sqref="P130">
    <cfRule type="cellIs" dxfId="1171" priority="1297" stopIfTrue="1" operator="equal">
      <formula>#REF!</formula>
    </cfRule>
  </conditionalFormatting>
  <conditionalFormatting sqref="P130">
    <cfRule type="cellIs" dxfId="1170" priority="1296" stopIfTrue="1" operator="equal">
      <formula>#REF!</formula>
    </cfRule>
  </conditionalFormatting>
  <conditionalFormatting sqref="P130">
    <cfRule type="cellIs" dxfId="1169" priority="1295" stopIfTrue="1" operator="equal">
      <formula>#REF!</formula>
    </cfRule>
  </conditionalFormatting>
  <conditionalFormatting sqref="P130">
    <cfRule type="cellIs" dxfId="1168" priority="1294" stopIfTrue="1" operator="equal">
      <formula>#REF!</formula>
    </cfRule>
  </conditionalFormatting>
  <conditionalFormatting sqref="P130">
    <cfRule type="cellIs" dxfId="1167" priority="1293" stopIfTrue="1" operator="equal">
      <formula>#REF!</formula>
    </cfRule>
  </conditionalFormatting>
  <conditionalFormatting sqref="P130">
    <cfRule type="cellIs" dxfId="1166" priority="1292" stopIfTrue="1" operator="equal">
      <formula>#REF!</formula>
    </cfRule>
  </conditionalFormatting>
  <conditionalFormatting sqref="P130">
    <cfRule type="cellIs" dxfId="1165" priority="1291" stopIfTrue="1" operator="equal">
      <formula>#REF!</formula>
    </cfRule>
  </conditionalFormatting>
  <conditionalFormatting sqref="P130">
    <cfRule type="cellIs" dxfId="1164" priority="1290" stopIfTrue="1" operator="equal">
      <formula>#REF!</formula>
    </cfRule>
  </conditionalFormatting>
  <conditionalFormatting sqref="P130">
    <cfRule type="cellIs" dxfId="1163" priority="1289" stopIfTrue="1" operator="equal">
      <formula>#REF!</formula>
    </cfRule>
  </conditionalFormatting>
  <conditionalFormatting sqref="P130">
    <cfRule type="cellIs" dxfId="1162" priority="1288" stopIfTrue="1" operator="equal">
      <formula>#REF!</formula>
    </cfRule>
  </conditionalFormatting>
  <conditionalFormatting sqref="P130">
    <cfRule type="cellIs" dxfId="1161" priority="1287" stopIfTrue="1" operator="equal">
      <formula>#REF!</formula>
    </cfRule>
  </conditionalFormatting>
  <conditionalFormatting sqref="P130">
    <cfRule type="cellIs" dxfId="1160" priority="1286" stopIfTrue="1" operator="equal">
      <formula>#REF!</formula>
    </cfRule>
  </conditionalFormatting>
  <conditionalFormatting sqref="P130">
    <cfRule type="cellIs" dxfId="1159" priority="1285" stopIfTrue="1" operator="equal">
      <formula>#REF!</formula>
    </cfRule>
  </conditionalFormatting>
  <conditionalFormatting sqref="P130">
    <cfRule type="cellIs" dxfId="1158" priority="1284" stopIfTrue="1" operator="equal">
      <formula>#REF!</formula>
    </cfRule>
  </conditionalFormatting>
  <conditionalFormatting sqref="O131:P131">
    <cfRule type="cellIs" dxfId="1157" priority="1283" stopIfTrue="1" operator="equal">
      <formula>#REF!</formula>
    </cfRule>
  </conditionalFormatting>
  <conditionalFormatting sqref="P131">
    <cfRule type="cellIs" dxfId="1156" priority="1282" stopIfTrue="1" operator="equal">
      <formula>#REF!</formula>
    </cfRule>
  </conditionalFormatting>
  <conditionalFormatting sqref="P131">
    <cfRule type="cellIs" dxfId="1155" priority="1281" stopIfTrue="1" operator="equal">
      <formula>#REF!</formula>
    </cfRule>
  </conditionalFormatting>
  <conditionalFormatting sqref="O132:P132">
    <cfRule type="cellIs" dxfId="1154" priority="1280" stopIfTrue="1" operator="equal">
      <formula>#REF!</formula>
    </cfRule>
  </conditionalFormatting>
  <conditionalFormatting sqref="P132">
    <cfRule type="cellIs" dxfId="1153" priority="1279" stopIfTrue="1" operator="equal">
      <formula>#REF!</formula>
    </cfRule>
  </conditionalFormatting>
  <conditionalFormatting sqref="P132">
    <cfRule type="cellIs" dxfId="1152" priority="1278" stopIfTrue="1" operator="equal">
      <formula>#REF!</formula>
    </cfRule>
  </conditionalFormatting>
  <conditionalFormatting sqref="O132:P132">
    <cfRule type="cellIs" dxfId="1151" priority="1206" stopIfTrue="1" operator="equal">
      <formula>#REF!</formula>
    </cfRule>
  </conditionalFormatting>
  <conditionalFormatting sqref="P132">
    <cfRule type="cellIs" dxfId="1150" priority="1205" stopIfTrue="1" operator="equal">
      <formula>#REF!</formula>
    </cfRule>
  </conditionalFormatting>
  <conditionalFormatting sqref="P132">
    <cfRule type="cellIs" dxfId="1149" priority="1204" stopIfTrue="1" operator="equal">
      <formula>#REF!</formula>
    </cfRule>
  </conditionalFormatting>
  <conditionalFormatting sqref="O133:P133">
    <cfRule type="cellIs" dxfId="1148" priority="1203" stopIfTrue="1" operator="equal">
      <formula>#REF!</formula>
    </cfRule>
  </conditionalFormatting>
  <conditionalFormatting sqref="O133:P133">
    <cfRule type="cellIs" dxfId="1147" priority="1202" stopIfTrue="1" operator="equal">
      <formula>#REF!</formula>
    </cfRule>
  </conditionalFormatting>
  <conditionalFormatting sqref="O133:P133">
    <cfRule type="cellIs" dxfId="1146" priority="1201" stopIfTrue="1" operator="equal">
      <formula>#REF!</formula>
    </cfRule>
  </conditionalFormatting>
  <conditionalFormatting sqref="O133:P133">
    <cfRule type="cellIs" dxfId="1145" priority="1200" stopIfTrue="1" operator="equal">
      <formula>#REF!</formula>
    </cfRule>
  </conditionalFormatting>
  <conditionalFormatting sqref="O133:P133">
    <cfRule type="cellIs" dxfId="1144" priority="1199" stopIfTrue="1" operator="equal">
      <formula>#REF!</formula>
    </cfRule>
  </conditionalFormatting>
  <conditionalFormatting sqref="O133:P133">
    <cfRule type="cellIs" dxfId="1143" priority="1198" stopIfTrue="1" operator="equal">
      <formula>#REF!</formula>
    </cfRule>
  </conditionalFormatting>
  <conditionalFormatting sqref="O133:P133">
    <cfRule type="cellIs" dxfId="1142" priority="1197" stopIfTrue="1" operator="equal">
      <formula>#REF!</formula>
    </cfRule>
  </conditionalFormatting>
  <conditionalFormatting sqref="O133:P133">
    <cfRule type="cellIs" dxfId="1141" priority="1196" stopIfTrue="1" operator="equal">
      <formula>#REF!</formula>
    </cfRule>
  </conditionalFormatting>
  <conditionalFormatting sqref="O133:P133">
    <cfRule type="cellIs" dxfId="1140" priority="1195" stopIfTrue="1" operator="equal">
      <formula>#REF!</formula>
    </cfRule>
  </conditionalFormatting>
  <conditionalFormatting sqref="O133:P133">
    <cfRule type="cellIs" dxfId="1139" priority="1194" stopIfTrue="1" operator="equal">
      <formula>#REF!</formula>
    </cfRule>
  </conditionalFormatting>
  <conditionalFormatting sqref="O133:P133">
    <cfRule type="cellIs" dxfId="1138" priority="1193" stopIfTrue="1" operator="equal">
      <formula>#REF!</formula>
    </cfRule>
  </conditionalFormatting>
  <conditionalFormatting sqref="O133:P133">
    <cfRule type="cellIs" dxfId="1137" priority="1192" stopIfTrue="1" operator="equal">
      <formula>#REF!</formula>
    </cfRule>
  </conditionalFormatting>
  <conditionalFormatting sqref="O133:P133">
    <cfRule type="cellIs" dxfId="1136" priority="1191" stopIfTrue="1" operator="equal">
      <formula>#REF!</formula>
    </cfRule>
  </conditionalFormatting>
  <conditionalFormatting sqref="O133:P133">
    <cfRule type="cellIs" dxfId="1135" priority="1190" stopIfTrue="1" operator="equal">
      <formula>#REF!</formula>
    </cfRule>
  </conditionalFormatting>
  <conditionalFormatting sqref="O133:P133">
    <cfRule type="cellIs" dxfId="1134" priority="1189" stopIfTrue="1" operator="equal">
      <formula>#REF!</formula>
    </cfRule>
  </conditionalFormatting>
  <conditionalFormatting sqref="O133:P133">
    <cfRule type="cellIs" dxfId="1133" priority="1188" stopIfTrue="1" operator="equal">
      <formula>#REF!</formula>
    </cfRule>
  </conditionalFormatting>
  <conditionalFormatting sqref="O133:P133">
    <cfRule type="cellIs" dxfId="1132" priority="1187" stopIfTrue="1" operator="equal">
      <formula>#REF!</formula>
    </cfRule>
  </conditionalFormatting>
  <conditionalFormatting sqref="O133:P133">
    <cfRule type="cellIs" dxfId="1131" priority="1186" stopIfTrue="1" operator="equal">
      <formula>#REF!</formula>
    </cfRule>
  </conditionalFormatting>
  <conditionalFormatting sqref="O133:P133">
    <cfRule type="cellIs" dxfId="1130" priority="1185" stopIfTrue="1" operator="equal">
      <formula>#REF!</formula>
    </cfRule>
  </conditionalFormatting>
  <conditionalFormatting sqref="O133:P133">
    <cfRule type="cellIs" dxfId="1129" priority="1184" stopIfTrue="1" operator="equal">
      <formula>#REF!</formula>
    </cfRule>
  </conditionalFormatting>
  <conditionalFormatting sqref="O133:P133">
    <cfRule type="cellIs" dxfId="1128" priority="1183" stopIfTrue="1" operator="equal">
      <formula>#REF!</formula>
    </cfRule>
  </conditionalFormatting>
  <conditionalFormatting sqref="P133">
    <cfRule type="cellIs" dxfId="1127" priority="1182" stopIfTrue="1" operator="equal">
      <formula>#REF!</formula>
    </cfRule>
  </conditionalFormatting>
  <conditionalFormatting sqref="P133">
    <cfRule type="cellIs" dxfId="1126" priority="1181" stopIfTrue="1" operator="equal">
      <formula>#REF!</formula>
    </cfRule>
  </conditionalFormatting>
  <conditionalFormatting sqref="P133">
    <cfRule type="cellIs" dxfId="1125" priority="1180" stopIfTrue="1" operator="equal">
      <formula>#REF!</formula>
    </cfRule>
  </conditionalFormatting>
  <conditionalFormatting sqref="P133">
    <cfRule type="cellIs" dxfId="1124" priority="1179" stopIfTrue="1" operator="equal">
      <formula>#REF!</formula>
    </cfRule>
  </conditionalFormatting>
  <conditionalFormatting sqref="P133">
    <cfRule type="cellIs" dxfId="1123" priority="1178" stopIfTrue="1" operator="equal">
      <formula>#REF!</formula>
    </cfRule>
  </conditionalFormatting>
  <conditionalFormatting sqref="P133">
    <cfRule type="cellIs" dxfId="1122" priority="1177" stopIfTrue="1" operator="equal">
      <formula>#REF!</formula>
    </cfRule>
  </conditionalFormatting>
  <conditionalFormatting sqref="P133">
    <cfRule type="cellIs" dxfId="1121" priority="1176" stopIfTrue="1" operator="equal">
      <formula>#REF!</formula>
    </cfRule>
  </conditionalFormatting>
  <conditionalFormatting sqref="P133">
    <cfRule type="cellIs" dxfId="1120" priority="1175" stopIfTrue="1" operator="equal">
      <formula>#REF!</formula>
    </cfRule>
  </conditionalFormatting>
  <conditionalFormatting sqref="P133">
    <cfRule type="cellIs" dxfId="1119" priority="1174" stopIfTrue="1" operator="equal">
      <formula>#REF!</formula>
    </cfRule>
  </conditionalFormatting>
  <conditionalFormatting sqref="P133">
    <cfRule type="cellIs" dxfId="1118" priority="1173" stopIfTrue="1" operator="equal">
      <formula>#REF!</formula>
    </cfRule>
  </conditionalFormatting>
  <conditionalFormatting sqref="P133">
    <cfRule type="cellIs" dxfId="1117" priority="1172" stopIfTrue="1" operator="equal">
      <formula>#REF!</formula>
    </cfRule>
  </conditionalFormatting>
  <conditionalFormatting sqref="P133">
    <cfRule type="cellIs" dxfId="1116" priority="1171" stopIfTrue="1" operator="equal">
      <formula>#REF!</formula>
    </cfRule>
  </conditionalFormatting>
  <conditionalFormatting sqref="P133">
    <cfRule type="cellIs" dxfId="1115" priority="1170" stopIfTrue="1" operator="equal">
      <formula>#REF!</formula>
    </cfRule>
  </conditionalFormatting>
  <conditionalFormatting sqref="P133">
    <cfRule type="cellIs" dxfId="1114" priority="1169" stopIfTrue="1" operator="equal">
      <formula>#REF!</formula>
    </cfRule>
  </conditionalFormatting>
  <conditionalFormatting sqref="P133">
    <cfRule type="cellIs" dxfId="1113" priority="1168" stopIfTrue="1" operator="equal">
      <formula>#REF!</formula>
    </cfRule>
  </conditionalFormatting>
  <conditionalFormatting sqref="P133">
    <cfRule type="cellIs" dxfId="1112" priority="1167" stopIfTrue="1" operator="equal">
      <formula>#REF!</formula>
    </cfRule>
  </conditionalFormatting>
  <conditionalFormatting sqref="P133">
    <cfRule type="cellIs" dxfId="1111" priority="1166" stopIfTrue="1" operator="equal">
      <formula>#REF!</formula>
    </cfRule>
  </conditionalFormatting>
  <conditionalFormatting sqref="P133">
    <cfRule type="cellIs" dxfId="1110" priority="1165" stopIfTrue="1" operator="equal">
      <formula>#REF!</formula>
    </cfRule>
  </conditionalFormatting>
  <conditionalFormatting sqref="P133">
    <cfRule type="cellIs" dxfId="1109" priority="1164" stopIfTrue="1" operator="equal">
      <formula>#REF!</formula>
    </cfRule>
  </conditionalFormatting>
  <conditionalFormatting sqref="P133">
    <cfRule type="cellIs" dxfId="1108" priority="1163" stopIfTrue="1" operator="equal">
      <formula>#REF!</formula>
    </cfRule>
  </conditionalFormatting>
  <conditionalFormatting sqref="P133">
    <cfRule type="cellIs" dxfId="1107" priority="1162" stopIfTrue="1" operator="equal">
      <formula>#REF!</formula>
    </cfRule>
  </conditionalFormatting>
  <conditionalFormatting sqref="P133">
    <cfRule type="cellIs" dxfId="1106" priority="1161" stopIfTrue="1" operator="equal">
      <formula>#REF!</formula>
    </cfRule>
  </conditionalFormatting>
  <conditionalFormatting sqref="P133">
    <cfRule type="cellIs" dxfId="1105" priority="1160" stopIfTrue="1" operator="equal">
      <formula>#REF!</formula>
    </cfRule>
  </conditionalFormatting>
  <conditionalFormatting sqref="P133">
    <cfRule type="cellIs" dxfId="1104" priority="1159" stopIfTrue="1" operator="equal">
      <formula>#REF!</formula>
    </cfRule>
  </conditionalFormatting>
  <conditionalFormatting sqref="P133">
    <cfRule type="cellIs" dxfId="1103" priority="1158" stopIfTrue="1" operator="equal">
      <formula>#REF!</formula>
    </cfRule>
  </conditionalFormatting>
  <conditionalFormatting sqref="P133">
    <cfRule type="cellIs" dxfId="1102" priority="1157" stopIfTrue="1" operator="equal">
      <formula>#REF!</formula>
    </cfRule>
  </conditionalFormatting>
  <conditionalFormatting sqref="P133">
    <cfRule type="cellIs" dxfId="1101" priority="1156" stopIfTrue="1" operator="equal">
      <formula>#REF!</formula>
    </cfRule>
  </conditionalFormatting>
  <conditionalFormatting sqref="P133">
    <cfRule type="cellIs" dxfId="1100" priority="1155" stopIfTrue="1" operator="equal">
      <formula>#REF!</formula>
    </cfRule>
  </conditionalFormatting>
  <conditionalFormatting sqref="P133">
    <cfRule type="cellIs" dxfId="1099" priority="1154" stopIfTrue="1" operator="equal">
      <formula>#REF!</formula>
    </cfRule>
  </conditionalFormatting>
  <conditionalFormatting sqref="P133">
    <cfRule type="cellIs" dxfId="1098" priority="1153" stopIfTrue="1" operator="equal">
      <formula>#REF!</formula>
    </cfRule>
  </conditionalFormatting>
  <conditionalFormatting sqref="P133">
    <cfRule type="cellIs" dxfId="1097" priority="1152" stopIfTrue="1" operator="equal">
      <formula>#REF!</formula>
    </cfRule>
  </conditionalFormatting>
  <conditionalFormatting sqref="O133:P133">
    <cfRule type="cellIs" dxfId="1096" priority="1151" stopIfTrue="1" operator="equal">
      <formula>#REF!</formula>
    </cfRule>
  </conditionalFormatting>
  <conditionalFormatting sqref="O133:P133">
    <cfRule type="cellIs" dxfId="1095" priority="1150" stopIfTrue="1" operator="equal">
      <formula>#REF!</formula>
    </cfRule>
  </conditionalFormatting>
  <conditionalFormatting sqref="O133:P133">
    <cfRule type="cellIs" dxfId="1094" priority="1149" stopIfTrue="1" operator="equal">
      <formula>#REF!</formula>
    </cfRule>
  </conditionalFormatting>
  <conditionalFormatting sqref="O133:P133">
    <cfRule type="cellIs" dxfId="1093" priority="1148" stopIfTrue="1" operator="equal">
      <formula>#REF!</formula>
    </cfRule>
  </conditionalFormatting>
  <conditionalFormatting sqref="O133:P133">
    <cfRule type="cellIs" dxfId="1092" priority="1147" stopIfTrue="1" operator="equal">
      <formula>#REF!</formula>
    </cfRule>
  </conditionalFormatting>
  <conditionalFormatting sqref="O133:P133">
    <cfRule type="cellIs" dxfId="1091" priority="1146" stopIfTrue="1" operator="equal">
      <formula>#REF!</formula>
    </cfRule>
  </conditionalFormatting>
  <conditionalFormatting sqref="O133:P133">
    <cfRule type="cellIs" dxfId="1090" priority="1145" stopIfTrue="1" operator="equal">
      <formula>#REF!</formula>
    </cfRule>
  </conditionalFormatting>
  <conditionalFormatting sqref="O133:P133">
    <cfRule type="cellIs" dxfId="1089" priority="1144" stopIfTrue="1" operator="equal">
      <formula>#REF!</formula>
    </cfRule>
  </conditionalFormatting>
  <conditionalFormatting sqref="O133:P133">
    <cfRule type="cellIs" dxfId="1088" priority="1143" stopIfTrue="1" operator="equal">
      <formula>#REF!</formula>
    </cfRule>
  </conditionalFormatting>
  <conditionalFormatting sqref="O133:P133">
    <cfRule type="cellIs" dxfId="1087" priority="1142" stopIfTrue="1" operator="equal">
      <formula>#REF!</formula>
    </cfRule>
  </conditionalFormatting>
  <conditionalFormatting sqref="O133:P133">
    <cfRule type="cellIs" dxfId="1086" priority="1141" stopIfTrue="1" operator="equal">
      <formula>#REF!</formula>
    </cfRule>
  </conditionalFormatting>
  <conditionalFormatting sqref="O133:P133">
    <cfRule type="cellIs" dxfId="1085" priority="1140" stopIfTrue="1" operator="equal">
      <formula>#REF!</formula>
    </cfRule>
  </conditionalFormatting>
  <conditionalFormatting sqref="O133:P133">
    <cfRule type="cellIs" dxfId="1084" priority="1139" stopIfTrue="1" operator="equal">
      <formula>#REF!</formula>
    </cfRule>
  </conditionalFormatting>
  <conditionalFormatting sqref="O133:P133">
    <cfRule type="cellIs" dxfId="1083" priority="1138" stopIfTrue="1" operator="equal">
      <formula>#REF!</formula>
    </cfRule>
  </conditionalFormatting>
  <conditionalFormatting sqref="O133:P133">
    <cfRule type="cellIs" dxfId="1082" priority="1137" stopIfTrue="1" operator="equal">
      <formula>#REF!</formula>
    </cfRule>
  </conditionalFormatting>
  <conditionalFormatting sqref="O133:P133">
    <cfRule type="cellIs" dxfId="1081" priority="1136" stopIfTrue="1" operator="equal">
      <formula>#REF!</formula>
    </cfRule>
  </conditionalFormatting>
  <conditionalFormatting sqref="O133:P133">
    <cfRule type="cellIs" dxfId="1080" priority="1135" stopIfTrue="1" operator="equal">
      <formula>#REF!</formula>
    </cfRule>
  </conditionalFormatting>
  <conditionalFormatting sqref="O133:P133">
    <cfRule type="cellIs" dxfId="1079" priority="1134" stopIfTrue="1" operator="equal">
      <formula>#REF!</formula>
    </cfRule>
  </conditionalFormatting>
  <conditionalFormatting sqref="O133:P133">
    <cfRule type="cellIs" dxfId="1078" priority="1133" stopIfTrue="1" operator="equal">
      <formula>#REF!</formula>
    </cfRule>
  </conditionalFormatting>
  <conditionalFormatting sqref="O133:P133">
    <cfRule type="cellIs" dxfId="1077" priority="1132" stopIfTrue="1" operator="equal">
      <formula>#REF!</formula>
    </cfRule>
  </conditionalFormatting>
  <conditionalFormatting sqref="O133:P133">
    <cfRule type="cellIs" dxfId="1076" priority="1131" stopIfTrue="1" operator="equal">
      <formula>#REF!</formula>
    </cfRule>
  </conditionalFormatting>
  <conditionalFormatting sqref="P133">
    <cfRule type="cellIs" dxfId="1075" priority="1130" stopIfTrue="1" operator="equal">
      <formula>#REF!</formula>
    </cfRule>
  </conditionalFormatting>
  <conditionalFormatting sqref="P133">
    <cfRule type="cellIs" dxfId="1074" priority="1129" stopIfTrue="1" operator="equal">
      <formula>#REF!</formula>
    </cfRule>
  </conditionalFormatting>
  <conditionalFormatting sqref="P133">
    <cfRule type="cellIs" dxfId="1073" priority="1128" stopIfTrue="1" operator="equal">
      <formula>#REF!</formula>
    </cfRule>
  </conditionalFormatting>
  <conditionalFormatting sqref="P133">
    <cfRule type="cellIs" dxfId="1072" priority="1127" stopIfTrue="1" operator="equal">
      <formula>#REF!</formula>
    </cfRule>
  </conditionalFormatting>
  <conditionalFormatting sqref="P133">
    <cfRule type="cellIs" dxfId="1071" priority="1126" stopIfTrue="1" operator="equal">
      <formula>#REF!</formula>
    </cfRule>
  </conditionalFormatting>
  <conditionalFormatting sqref="P133">
    <cfRule type="cellIs" dxfId="1070" priority="1125" stopIfTrue="1" operator="equal">
      <formula>#REF!</formula>
    </cfRule>
  </conditionalFormatting>
  <conditionalFormatting sqref="P133">
    <cfRule type="cellIs" dxfId="1069" priority="1124" stopIfTrue="1" operator="equal">
      <formula>#REF!</formula>
    </cfRule>
  </conditionalFormatting>
  <conditionalFormatting sqref="P133">
    <cfRule type="cellIs" dxfId="1068" priority="1123" stopIfTrue="1" operator="equal">
      <formula>#REF!</formula>
    </cfRule>
  </conditionalFormatting>
  <conditionalFormatting sqref="P133">
    <cfRule type="cellIs" dxfId="1067" priority="1122" stopIfTrue="1" operator="equal">
      <formula>#REF!</formula>
    </cfRule>
  </conditionalFormatting>
  <conditionalFormatting sqref="P133">
    <cfRule type="cellIs" dxfId="1066" priority="1121" stopIfTrue="1" operator="equal">
      <formula>#REF!</formula>
    </cfRule>
  </conditionalFormatting>
  <conditionalFormatting sqref="P133">
    <cfRule type="cellIs" dxfId="1065" priority="1120" stopIfTrue="1" operator="equal">
      <formula>#REF!</formula>
    </cfRule>
  </conditionalFormatting>
  <conditionalFormatting sqref="P133">
    <cfRule type="cellIs" dxfId="1064" priority="1119" stopIfTrue="1" operator="equal">
      <formula>#REF!</formula>
    </cfRule>
  </conditionalFormatting>
  <conditionalFormatting sqref="P133">
    <cfRule type="cellIs" dxfId="1063" priority="1118" stopIfTrue="1" operator="equal">
      <formula>#REF!</formula>
    </cfRule>
  </conditionalFormatting>
  <conditionalFormatting sqref="P133">
    <cfRule type="cellIs" dxfId="1062" priority="1117" stopIfTrue="1" operator="equal">
      <formula>#REF!</formula>
    </cfRule>
  </conditionalFormatting>
  <conditionalFormatting sqref="P133">
    <cfRule type="cellIs" dxfId="1061" priority="1116" stopIfTrue="1" operator="equal">
      <formula>#REF!</formula>
    </cfRule>
  </conditionalFormatting>
  <conditionalFormatting sqref="P133">
    <cfRule type="cellIs" dxfId="1060" priority="1115" stopIfTrue="1" operator="equal">
      <formula>#REF!</formula>
    </cfRule>
  </conditionalFormatting>
  <conditionalFormatting sqref="P133">
    <cfRule type="cellIs" dxfId="1059" priority="1114" stopIfTrue="1" operator="equal">
      <formula>#REF!</formula>
    </cfRule>
  </conditionalFormatting>
  <conditionalFormatting sqref="P133">
    <cfRule type="cellIs" dxfId="1058" priority="1113" stopIfTrue="1" operator="equal">
      <formula>#REF!</formula>
    </cfRule>
  </conditionalFormatting>
  <conditionalFormatting sqref="P133">
    <cfRule type="cellIs" dxfId="1057" priority="1112" stopIfTrue="1" operator="equal">
      <formula>#REF!</formula>
    </cfRule>
  </conditionalFormatting>
  <conditionalFormatting sqref="P133">
    <cfRule type="cellIs" dxfId="1056" priority="1111" stopIfTrue="1" operator="equal">
      <formula>#REF!</formula>
    </cfRule>
  </conditionalFormatting>
  <conditionalFormatting sqref="P133">
    <cfRule type="cellIs" dxfId="1055" priority="1110" stopIfTrue="1" operator="equal">
      <formula>#REF!</formula>
    </cfRule>
  </conditionalFormatting>
  <conditionalFormatting sqref="P133">
    <cfRule type="cellIs" dxfId="1054" priority="1109" stopIfTrue="1" operator="equal">
      <formula>#REF!</formula>
    </cfRule>
  </conditionalFormatting>
  <conditionalFormatting sqref="P133">
    <cfRule type="cellIs" dxfId="1053" priority="1108" stopIfTrue="1" operator="equal">
      <formula>#REF!</formula>
    </cfRule>
  </conditionalFormatting>
  <conditionalFormatting sqref="P133">
    <cfRule type="cellIs" dxfId="1052" priority="1107" stopIfTrue="1" operator="equal">
      <formula>#REF!</formula>
    </cfRule>
  </conditionalFormatting>
  <conditionalFormatting sqref="P133">
    <cfRule type="cellIs" dxfId="1051" priority="1106" stopIfTrue="1" operator="equal">
      <formula>#REF!</formula>
    </cfRule>
  </conditionalFormatting>
  <conditionalFormatting sqref="P133">
    <cfRule type="cellIs" dxfId="1050" priority="1105" stopIfTrue="1" operator="equal">
      <formula>#REF!</formula>
    </cfRule>
  </conditionalFormatting>
  <conditionalFormatting sqref="P133">
    <cfRule type="cellIs" dxfId="1049" priority="1104" stopIfTrue="1" operator="equal">
      <formula>#REF!</formula>
    </cfRule>
  </conditionalFormatting>
  <conditionalFormatting sqref="P133">
    <cfRule type="cellIs" dxfId="1048" priority="1103" stopIfTrue="1" operator="equal">
      <formula>#REF!</formula>
    </cfRule>
  </conditionalFormatting>
  <conditionalFormatting sqref="P133">
    <cfRule type="cellIs" dxfId="1047" priority="1102" stopIfTrue="1" operator="equal">
      <formula>#REF!</formula>
    </cfRule>
  </conditionalFormatting>
  <conditionalFormatting sqref="P133">
    <cfRule type="cellIs" dxfId="1046" priority="1101" stopIfTrue="1" operator="equal">
      <formula>#REF!</formula>
    </cfRule>
  </conditionalFormatting>
  <conditionalFormatting sqref="P133">
    <cfRule type="cellIs" dxfId="1045" priority="1100" stopIfTrue="1" operator="equal">
      <formula>#REF!</formula>
    </cfRule>
  </conditionalFormatting>
  <conditionalFormatting sqref="O138:P138">
    <cfRule type="cellIs" dxfId="1044" priority="683" stopIfTrue="1" operator="equal">
      <formula>#REF!</formula>
    </cfRule>
  </conditionalFormatting>
  <conditionalFormatting sqref="O138:P138">
    <cfRule type="cellIs" dxfId="1043" priority="682" stopIfTrue="1" operator="equal">
      <formula>#REF!</formula>
    </cfRule>
  </conditionalFormatting>
  <conditionalFormatting sqref="O138:P138">
    <cfRule type="cellIs" dxfId="1042" priority="681" stopIfTrue="1" operator="equal">
      <formula>#REF!</formula>
    </cfRule>
  </conditionalFormatting>
  <conditionalFormatting sqref="O138:P138">
    <cfRule type="cellIs" dxfId="1041" priority="680" stopIfTrue="1" operator="equal">
      <formula>#REF!</formula>
    </cfRule>
  </conditionalFormatting>
  <conditionalFormatting sqref="O138:P138">
    <cfRule type="cellIs" dxfId="1040" priority="679" stopIfTrue="1" operator="equal">
      <formula>#REF!</formula>
    </cfRule>
  </conditionalFormatting>
  <conditionalFormatting sqref="O138:P138">
    <cfRule type="cellIs" dxfId="1039" priority="678" stopIfTrue="1" operator="equal">
      <formula>#REF!</formula>
    </cfRule>
  </conditionalFormatting>
  <conditionalFormatting sqref="O138:P138">
    <cfRule type="cellIs" dxfId="1038" priority="677" stopIfTrue="1" operator="equal">
      <formula>#REF!</formula>
    </cfRule>
  </conditionalFormatting>
  <conditionalFormatting sqref="O138:P138">
    <cfRule type="cellIs" dxfId="1037" priority="676" stopIfTrue="1" operator="equal">
      <formula>#REF!</formula>
    </cfRule>
  </conditionalFormatting>
  <conditionalFormatting sqref="O138:P138">
    <cfRule type="cellIs" dxfId="1036" priority="675" stopIfTrue="1" operator="equal">
      <formula>#REF!</formula>
    </cfRule>
  </conditionalFormatting>
  <conditionalFormatting sqref="O138:P138">
    <cfRule type="cellIs" dxfId="1035" priority="674" stopIfTrue="1" operator="equal">
      <formula>#REF!</formula>
    </cfRule>
  </conditionalFormatting>
  <conditionalFormatting sqref="O138:P138">
    <cfRule type="cellIs" dxfId="1034" priority="673" stopIfTrue="1" operator="equal">
      <formula>#REF!</formula>
    </cfRule>
  </conditionalFormatting>
  <conditionalFormatting sqref="O138:P138">
    <cfRule type="cellIs" dxfId="1033" priority="672" stopIfTrue="1" operator="equal">
      <formula>#REF!</formula>
    </cfRule>
  </conditionalFormatting>
  <conditionalFormatting sqref="O138:P138">
    <cfRule type="cellIs" dxfId="1032" priority="671" stopIfTrue="1" operator="equal">
      <formula>#REF!</formula>
    </cfRule>
  </conditionalFormatting>
  <conditionalFormatting sqref="O138:P138">
    <cfRule type="cellIs" dxfId="1031" priority="670" stopIfTrue="1" operator="equal">
      <formula>#REF!</formula>
    </cfRule>
  </conditionalFormatting>
  <conditionalFormatting sqref="O138:P138">
    <cfRule type="cellIs" dxfId="1030" priority="669" stopIfTrue="1" operator="equal">
      <formula>#REF!</formula>
    </cfRule>
  </conditionalFormatting>
  <conditionalFormatting sqref="O138:P138">
    <cfRule type="cellIs" dxfId="1029" priority="668" stopIfTrue="1" operator="equal">
      <formula>#REF!</formula>
    </cfRule>
  </conditionalFormatting>
  <conditionalFormatting sqref="O138:P138">
    <cfRule type="cellIs" dxfId="1028" priority="667" stopIfTrue="1" operator="equal">
      <formula>#REF!</formula>
    </cfRule>
  </conditionalFormatting>
  <conditionalFormatting sqref="O138:P138">
    <cfRule type="cellIs" dxfId="1027" priority="666" stopIfTrue="1" operator="equal">
      <formula>#REF!</formula>
    </cfRule>
  </conditionalFormatting>
  <conditionalFormatting sqref="O138:P138">
    <cfRule type="cellIs" dxfId="1026" priority="665" stopIfTrue="1" operator="equal">
      <formula>#REF!</formula>
    </cfRule>
  </conditionalFormatting>
  <conditionalFormatting sqref="O138:P138">
    <cfRule type="cellIs" dxfId="1025" priority="664" stopIfTrue="1" operator="equal">
      <formula>#REF!</formula>
    </cfRule>
  </conditionalFormatting>
  <conditionalFormatting sqref="O138:P138">
    <cfRule type="cellIs" dxfId="1024" priority="663" stopIfTrue="1" operator="equal">
      <formula>#REF!</formula>
    </cfRule>
  </conditionalFormatting>
  <conditionalFormatting sqref="P138">
    <cfRule type="cellIs" dxfId="1023" priority="662" stopIfTrue="1" operator="equal">
      <formula>#REF!</formula>
    </cfRule>
  </conditionalFormatting>
  <conditionalFormatting sqref="P138">
    <cfRule type="cellIs" dxfId="1022" priority="661" stopIfTrue="1" operator="equal">
      <formula>#REF!</formula>
    </cfRule>
  </conditionalFormatting>
  <conditionalFormatting sqref="P138">
    <cfRule type="cellIs" dxfId="1021" priority="660" stopIfTrue="1" operator="equal">
      <formula>#REF!</formula>
    </cfRule>
  </conditionalFormatting>
  <conditionalFormatting sqref="P138">
    <cfRule type="cellIs" dxfId="1020" priority="659" stopIfTrue="1" operator="equal">
      <formula>#REF!</formula>
    </cfRule>
  </conditionalFormatting>
  <conditionalFormatting sqref="P138">
    <cfRule type="cellIs" dxfId="1019" priority="658" stopIfTrue="1" operator="equal">
      <formula>#REF!</formula>
    </cfRule>
  </conditionalFormatting>
  <conditionalFormatting sqref="P138">
    <cfRule type="cellIs" dxfId="1018" priority="657" stopIfTrue="1" operator="equal">
      <formula>#REF!</formula>
    </cfRule>
  </conditionalFormatting>
  <conditionalFormatting sqref="P138">
    <cfRule type="cellIs" dxfId="1017" priority="656" stopIfTrue="1" operator="equal">
      <formula>#REF!</formula>
    </cfRule>
  </conditionalFormatting>
  <conditionalFormatting sqref="P138">
    <cfRule type="cellIs" dxfId="1016" priority="655" stopIfTrue="1" operator="equal">
      <formula>#REF!</formula>
    </cfRule>
  </conditionalFormatting>
  <conditionalFormatting sqref="P138">
    <cfRule type="cellIs" dxfId="1015" priority="654" stopIfTrue="1" operator="equal">
      <formula>#REF!</formula>
    </cfRule>
  </conditionalFormatting>
  <conditionalFormatting sqref="P138">
    <cfRule type="cellIs" dxfId="1014" priority="653" stopIfTrue="1" operator="equal">
      <formula>#REF!</formula>
    </cfRule>
  </conditionalFormatting>
  <conditionalFormatting sqref="P138">
    <cfRule type="cellIs" dxfId="1013" priority="652" stopIfTrue="1" operator="equal">
      <formula>#REF!</formula>
    </cfRule>
  </conditionalFormatting>
  <conditionalFormatting sqref="P138">
    <cfRule type="cellIs" dxfId="1012" priority="651" stopIfTrue="1" operator="equal">
      <formula>#REF!</formula>
    </cfRule>
  </conditionalFormatting>
  <conditionalFormatting sqref="P138">
    <cfRule type="cellIs" dxfId="1011" priority="650" stopIfTrue="1" operator="equal">
      <formula>#REF!</formula>
    </cfRule>
  </conditionalFormatting>
  <conditionalFormatting sqref="P138">
    <cfRule type="cellIs" dxfId="1010" priority="649" stopIfTrue="1" operator="equal">
      <formula>#REF!</formula>
    </cfRule>
  </conditionalFormatting>
  <conditionalFormatting sqref="P138">
    <cfRule type="cellIs" dxfId="1009" priority="648" stopIfTrue="1" operator="equal">
      <formula>#REF!</formula>
    </cfRule>
  </conditionalFormatting>
  <conditionalFormatting sqref="P138">
    <cfRule type="cellIs" dxfId="1008" priority="647" stopIfTrue="1" operator="equal">
      <formula>#REF!</formula>
    </cfRule>
  </conditionalFormatting>
  <conditionalFormatting sqref="P138">
    <cfRule type="cellIs" dxfId="1007" priority="646" stopIfTrue="1" operator="equal">
      <formula>#REF!</formula>
    </cfRule>
  </conditionalFormatting>
  <conditionalFormatting sqref="P138">
    <cfRule type="cellIs" dxfId="1006" priority="645" stopIfTrue="1" operator="equal">
      <formula>#REF!</formula>
    </cfRule>
  </conditionalFormatting>
  <conditionalFormatting sqref="P138">
    <cfRule type="cellIs" dxfId="1005" priority="644" stopIfTrue="1" operator="equal">
      <formula>#REF!</formula>
    </cfRule>
  </conditionalFormatting>
  <conditionalFormatting sqref="P138">
    <cfRule type="cellIs" dxfId="1004" priority="643" stopIfTrue="1" operator="equal">
      <formula>#REF!</formula>
    </cfRule>
  </conditionalFormatting>
  <conditionalFormatting sqref="P138">
    <cfRule type="cellIs" dxfId="1003" priority="642" stopIfTrue="1" operator="equal">
      <formula>#REF!</formula>
    </cfRule>
  </conditionalFormatting>
  <conditionalFormatting sqref="P138">
    <cfRule type="cellIs" dxfId="1002" priority="641" stopIfTrue="1" operator="equal">
      <formula>#REF!</formula>
    </cfRule>
  </conditionalFormatting>
  <conditionalFormatting sqref="P138">
    <cfRule type="cellIs" dxfId="1001" priority="640" stopIfTrue="1" operator="equal">
      <formula>#REF!</formula>
    </cfRule>
  </conditionalFormatting>
  <conditionalFormatting sqref="P138">
    <cfRule type="cellIs" dxfId="1000" priority="639" stopIfTrue="1" operator="equal">
      <formula>#REF!</formula>
    </cfRule>
  </conditionalFormatting>
  <conditionalFormatting sqref="P138">
    <cfRule type="cellIs" dxfId="999" priority="638" stopIfTrue="1" operator="equal">
      <formula>#REF!</formula>
    </cfRule>
  </conditionalFormatting>
  <conditionalFormatting sqref="P138">
    <cfRule type="cellIs" dxfId="998" priority="637" stopIfTrue="1" operator="equal">
      <formula>#REF!</formula>
    </cfRule>
  </conditionalFormatting>
  <conditionalFormatting sqref="P138">
    <cfRule type="cellIs" dxfId="997" priority="636" stopIfTrue="1" operator="equal">
      <formula>#REF!</formula>
    </cfRule>
  </conditionalFormatting>
  <conditionalFormatting sqref="P138">
    <cfRule type="cellIs" dxfId="996" priority="635" stopIfTrue="1" operator="equal">
      <formula>#REF!</formula>
    </cfRule>
  </conditionalFormatting>
  <conditionalFormatting sqref="P138">
    <cfRule type="cellIs" dxfId="995" priority="634" stopIfTrue="1" operator="equal">
      <formula>#REF!</formula>
    </cfRule>
  </conditionalFormatting>
  <conditionalFormatting sqref="P138">
    <cfRule type="cellIs" dxfId="994" priority="633" stopIfTrue="1" operator="equal">
      <formula>#REF!</formula>
    </cfRule>
  </conditionalFormatting>
  <conditionalFormatting sqref="P138">
    <cfRule type="cellIs" dxfId="993" priority="632" stopIfTrue="1" operator="equal">
      <formula>#REF!</formula>
    </cfRule>
  </conditionalFormatting>
  <conditionalFormatting sqref="O138:P138">
    <cfRule type="cellIs" dxfId="992" priority="631" stopIfTrue="1" operator="equal">
      <formula>#REF!</formula>
    </cfRule>
  </conditionalFormatting>
  <conditionalFormatting sqref="O138:P138">
    <cfRule type="cellIs" dxfId="991" priority="630" stopIfTrue="1" operator="equal">
      <formula>#REF!</formula>
    </cfRule>
  </conditionalFormatting>
  <conditionalFormatting sqref="O138:P138">
    <cfRule type="cellIs" dxfId="990" priority="629" stopIfTrue="1" operator="equal">
      <formula>#REF!</formula>
    </cfRule>
  </conditionalFormatting>
  <conditionalFormatting sqref="O138:P138">
    <cfRule type="cellIs" dxfId="989" priority="628" stopIfTrue="1" operator="equal">
      <formula>#REF!</formula>
    </cfRule>
  </conditionalFormatting>
  <conditionalFormatting sqref="O138:P138">
    <cfRule type="cellIs" dxfId="988" priority="627" stopIfTrue="1" operator="equal">
      <formula>#REF!</formula>
    </cfRule>
  </conditionalFormatting>
  <conditionalFormatting sqref="O138:P138">
    <cfRule type="cellIs" dxfId="987" priority="626" stopIfTrue="1" operator="equal">
      <formula>#REF!</formula>
    </cfRule>
  </conditionalFormatting>
  <conditionalFormatting sqref="O138:P138">
    <cfRule type="cellIs" dxfId="986" priority="625" stopIfTrue="1" operator="equal">
      <formula>#REF!</formula>
    </cfRule>
  </conditionalFormatting>
  <conditionalFormatting sqref="O138:P138">
    <cfRule type="cellIs" dxfId="985" priority="624" stopIfTrue="1" operator="equal">
      <formula>#REF!</formula>
    </cfRule>
  </conditionalFormatting>
  <conditionalFormatting sqref="O138:P138">
    <cfRule type="cellIs" dxfId="984" priority="623" stopIfTrue="1" operator="equal">
      <formula>#REF!</formula>
    </cfRule>
  </conditionalFormatting>
  <conditionalFormatting sqref="O138:P138">
    <cfRule type="cellIs" dxfId="983" priority="622" stopIfTrue="1" operator="equal">
      <formula>#REF!</formula>
    </cfRule>
  </conditionalFormatting>
  <conditionalFormatting sqref="O138:P138">
    <cfRule type="cellIs" dxfId="982" priority="621" stopIfTrue="1" operator="equal">
      <formula>#REF!</formula>
    </cfRule>
  </conditionalFormatting>
  <conditionalFormatting sqref="O138:P138">
    <cfRule type="cellIs" dxfId="981" priority="620" stopIfTrue="1" operator="equal">
      <formula>#REF!</formula>
    </cfRule>
  </conditionalFormatting>
  <conditionalFormatting sqref="O138:P138">
    <cfRule type="cellIs" dxfId="980" priority="619" stopIfTrue="1" operator="equal">
      <formula>#REF!</formula>
    </cfRule>
  </conditionalFormatting>
  <conditionalFormatting sqref="O138:P138">
    <cfRule type="cellIs" dxfId="979" priority="618" stopIfTrue="1" operator="equal">
      <formula>#REF!</formula>
    </cfRule>
  </conditionalFormatting>
  <conditionalFormatting sqref="O138:P138">
    <cfRule type="cellIs" dxfId="978" priority="617" stopIfTrue="1" operator="equal">
      <formula>#REF!</formula>
    </cfRule>
  </conditionalFormatting>
  <conditionalFormatting sqref="O138:P138">
    <cfRule type="cellIs" dxfId="977" priority="616" stopIfTrue="1" operator="equal">
      <formula>#REF!</formula>
    </cfRule>
  </conditionalFormatting>
  <conditionalFormatting sqref="O138:P138">
    <cfRule type="cellIs" dxfId="976" priority="615" stopIfTrue="1" operator="equal">
      <formula>#REF!</formula>
    </cfRule>
  </conditionalFormatting>
  <conditionalFormatting sqref="O138:P138">
    <cfRule type="cellIs" dxfId="975" priority="614" stopIfTrue="1" operator="equal">
      <formula>#REF!</formula>
    </cfRule>
  </conditionalFormatting>
  <conditionalFormatting sqref="O138:P138">
    <cfRule type="cellIs" dxfId="974" priority="613" stopIfTrue="1" operator="equal">
      <formula>#REF!</formula>
    </cfRule>
  </conditionalFormatting>
  <conditionalFormatting sqref="O138:P138">
    <cfRule type="cellIs" dxfId="973" priority="612" stopIfTrue="1" operator="equal">
      <formula>#REF!</formula>
    </cfRule>
  </conditionalFormatting>
  <conditionalFormatting sqref="O138:P138">
    <cfRule type="cellIs" dxfId="972" priority="611" stopIfTrue="1" operator="equal">
      <formula>#REF!</formula>
    </cfRule>
  </conditionalFormatting>
  <conditionalFormatting sqref="P138">
    <cfRule type="cellIs" dxfId="971" priority="610" stopIfTrue="1" operator="equal">
      <formula>#REF!</formula>
    </cfRule>
  </conditionalFormatting>
  <conditionalFormatting sqref="P138">
    <cfRule type="cellIs" dxfId="970" priority="609" stopIfTrue="1" operator="equal">
      <formula>#REF!</formula>
    </cfRule>
  </conditionalFormatting>
  <conditionalFormatting sqref="P138">
    <cfRule type="cellIs" dxfId="969" priority="608" stopIfTrue="1" operator="equal">
      <formula>#REF!</formula>
    </cfRule>
  </conditionalFormatting>
  <conditionalFormatting sqref="P138">
    <cfRule type="cellIs" dxfId="968" priority="607" stopIfTrue="1" operator="equal">
      <formula>#REF!</formula>
    </cfRule>
  </conditionalFormatting>
  <conditionalFormatting sqref="P138">
    <cfRule type="cellIs" dxfId="967" priority="606" stopIfTrue="1" operator="equal">
      <formula>#REF!</formula>
    </cfRule>
  </conditionalFormatting>
  <conditionalFormatting sqref="P138">
    <cfRule type="cellIs" dxfId="966" priority="605" stopIfTrue="1" operator="equal">
      <formula>#REF!</formula>
    </cfRule>
  </conditionalFormatting>
  <conditionalFormatting sqref="P138">
    <cfRule type="cellIs" dxfId="965" priority="604" stopIfTrue="1" operator="equal">
      <formula>#REF!</formula>
    </cfRule>
  </conditionalFormatting>
  <conditionalFormatting sqref="P138">
    <cfRule type="cellIs" dxfId="964" priority="603" stopIfTrue="1" operator="equal">
      <formula>#REF!</formula>
    </cfRule>
  </conditionalFormatting>
  <conditionalFormatting sqref="P138">
    <cfRule type="cellIs" dxfId="963" priority="602" stopIfTrue="1" operator="equal">
      <formula>#REF!</formula>
    </cfRule>
  </conditionalFormatting>
  <conditionalFormatting sqref="P138">
    <cfRule type="cellIs" dxfId="962" priority="601" stopIfTrue="1" operator="equal">
      <formula>#REF!</formula>
    </cfRule>
  </conditionalFormatting>
  <conditionalFormatting sqref="P138">
    <cfRule type="cellIs" dxfId="961" priority="600" stopIfTrue="1" operator="equal">
      <formula>#REF!</formula>
    </cfRule>
  </conditionalFormatting>
  <conditionalFormatting sqref="P138">
    <cfRule type="cellIs" dxfId="960" priority="599" stopIfTrue="1" operator="equal">
      <formula>#REF!</formula>
    </cfRule>
  </conditionalFormatting>
  <conditionalFormatting sqref="P138">
    <cfRule type="cellIs" dxfId="959" priority="598" stopIfTrue="1" operator="equal">
      <formula>#REF!</formula>
    </cfRule>
  </conditionalFormatting>
  <conditionalFormatting sqref="P138">
    <cfRule type="cellIs" dxfId="958" priority="597" stopIfTrue="1" operator="equal">
      <formula>#REF!</formula>
    </cfRule>
  </conditionalFormatting>
  <conditionalFormatting sqref="P138">
    <cfRule type="cellIs" dxfId="957" priority="596" stopIfTrue="1" operator="equal">
      <formula>#REF!</formula>
    </cfRule>
  </conditionalFormatting>
  <conditionalFormatting sqref="P138">
    <cfRule type="cellIs" dxfId="956" priority="595" stopIfTrue="1" operator="equal">
      <formula>#REF!</formula>
    </cfRule>
  </conditionalFormatting>
  <conditionalFormatting sqref="P138">
    <cfRule type="cellIs" dxfId="955" priority="594" stopIfTrue="1" operator="equal">
      <formula>#REF!</formula>
    </cfRule>
  </conditionalFormatting>
  <conditionalFormatting sqref="P138">
    <cfRule type="cellIs" dxfId="954" priority="593" stopIfTrue="1" operator="equal">
      <formula>#REF!</formula>
    </cfRule>
  </conditionalFormatting>
  <conditionalFormatting sqref="P138">
    <cfRule type="cellIs" dxfId="953" priority="592" stopIfTrue="1" operator="equal">
      <formula>#REF!</formula>
    </cfRule>
  </conditionalFormatting>
  <conditionalFormatting sqref="P138">
    <cfRule type="cellIs" dxfId="952" priority="591" stopIfTrue="1" operator="equal">
      <formula>#REF!</formula>
    </cfRule>
  </conditionalFormatting>
  <conditionalFormatting sqref="P138">
    <cfRule type="cellIs" dxfId="951" priority="590" stopIfTrue="1" operator="equal">
      <formula>#REF!</formula>
    </cfRule>
  </conditionalFormatting>
  <conditionalFormatting sqref="P138">
    <cfRule type="cellIs" dxfId="950" priority="589" stopIfTrue="1" operator="equal">
      <formula>#REF!</formula>
    </cfRule>
  </conditionalFormatting>
  <conditionalFormatting sqref="P138">
    <cfRule type="cellIs" dxfId="949" priority="588" stopIfTrue="1" operator="equal">
      <formula>#REF!</formula>
    </cfRule>
  </conditionalFormatting>
  <conditionalFormatting sqref="P138">
    <cfRule type="cellIs" dxfId="948" priority="587" stopIfTrue="1" operator="equal">
      <formula>#REF!</formula>
    </cfRule>
  </conditionalFormatting>
  <conditionalFormatting sqref="P138">
    <cfRule type="cellIs" dxfId="947" priority="586" stopIfTrue="1" operator="equal">
      <formula>#REF!</formula>
    </cfRule>
  </conditionalFormatting>
  <conditionalFormatting sqref="P138">
    <cfRule type="cellIs" dxfId="946" priority="585" stopIfTrue="1" operator="equal">
      <formula>#REF!</formula>
    </cfRule>
  </conditionalFormatting>
  <conditionalFormatting sqref="P138">
    <cfRule type="cellIs" dxfId="945" priority="584" stopIfTrue="1" operator="equal">
      <formula>#REF!</formula>
    </cfRule>
  </conditionalFormatting>
  <conditionalFormatting sqref="P138">
    <cfRule type="cellIs" dxfId="944" priority="583" stopIfTrue="1" operator="equal">
      <formula>#REF!</formula>
    </cfRule>
  </conditionalFormatting>
  <conditionalFormatting sqref="P138">
    <cfRule type="cellIs" dxfId="943" priority="582" stopIfTrue="1" operator="equal">
      <formula>#REF!</formula>
    </cfRule>
  </conditionalFormatting>
  <conditionalFormatting sqref="P138">
    <cfRule type="cellIs" dxfId="942" priority="581" stopIfTrue="1" operator="equal">
      <formula>#REF!</formula>
    </cfRule>
  </conditionalFormatting>
  <conditionalFormatting sqref="P138">
    <cfRule type="cellIs" dxfId="941" priority="580" stopIfTrue="1" operator="equal">
      <formula>#REF!</formula>
    </cfRule>
  </conditionalFormatting>
  <conditionalFormatting sqref="O137:P137">
    <cfRule type="cellIs" dxfId="940" priority="1099" stopIfTrue="1" operator="equal">
      <formula>#REF!</formula>
    </cfRule>
  </conditionalFormatting>
  <conditionalFormatting sqref="O137:P137">
    <cfRule type="cellIs" dxfId="939" priority="1098" stopIfTrue="1" operator="equal">
      <formula>#REF!</formula>
    </cfRule>
  </conditionalFormatting>
  <conditionalFormatting sqref="O137:P137">
    <cfRule type="cellIs" dxfId="938" priority="1097" stopIfTrue="1" operator="equal">
      <formula>#REF!</formula>
    </cfRule>
  </conditionalFormatting>
  <conditionalFormatting sqref="O137:P137">
    <cfRule type="cellIs" dxfId="937" priority="1096" stopIfTrue="1" operator="equal">
      <formula>#REF!</formula>
    </cfRule>
  </conditionalFormatting>
  <conditionalFormatting sqref="O137:P137">
    <cfRule type="cellIs" dxfId="936" priority="1095" stopIfTrue="1" operator="equal">
      <formula>#REF!</formula>
    </cfRule>
  </conditionalFormatting>
  <conditionalFormatting sqref="O137:P137">
    <cfRule type="cellIs" dxfId="935" priority="1094" stopIfTrue="1" operator="equal">
      <formula>#REF!</formula>
    </cfRule>
  </conditionalFormatting>
  <conditionalFormatting sqref="O137:P137">
    <cfRule type="cellIs" dxfId="934" priority="1093" stopIfTrue="1" operator="equal">
      <formula>#REF!</formula>
    </cfRule>
  </conditionalFormatting>
  <conditionalFormatting sqref="O137:P137">
    <cfRule type="cellIs" dxfId="933" priority="1092" stopIfTrue="1" operator="equal">
      <formula>#REF!</formula>
    </cfRule>
  </conditionalFormatting>
  <conditionalFormatting sqref="O137:P137">
    <cfRule type="cellIs" dxfId="932" priority="1091" stopIfTrue="1" operator="equal">
      <formula>#REF!</formula>
    </cfRule>
  </conditionalFormatting>
  <conditionalFormatting sqref="O137:P137">
    <cfRule type="cellIs" dxfId="931" priority="1090" stopIfTrue="1" operator="equal">
      <formula>#REF!</formula>
    </cfRule>
  </conditionalFormatting>
  <conditionalFormatting sqref="O137:P137">
    <cfRule type="cellIs" dxfId="930" priority="1089" stopIfTrue="1" operator="equal">
      <formula>#REF!</formula>
    </cfRule>
  </conditionalFormatting>
  <conditionalFormatting sqref="O137:P137">
    <cfRule type="cellIs" dxfId="929" priority="1088" stopIfTrue="1" operator="equal">
      <formula>#REF!</formula>
    </cfRule>
  </conditionalFormatting>
  <conditionalFormatting sqref="O137:P137">
    <cfRule type="cellIs" dxfId="928" priority="1087" stopIfTrue="1" operator="equal">
      <formula>#REF!</formula>
    </cfRule>
  </conditionalFormatting>
  <conditionalFormatting sqref="O137:P137">
    <cfRule type="cellIs" dxfId="927" priority="1086" stopIfTrue="1" operator="equal">
      <formula>#REF!</formula>
    </cfRule>
  </conditionalFormatting>
  <conditionalFormatting sqref="O137:P137">
    <cfRule type="cellIs" dxfId="926" priority="1085" stopIfTrue="1" operator="equal">
      <formula>#REF!</formula>
    </cfRule>
  </conditionalFormatting>
  <conditionalFormatting sqref="O137:P137">
    <cfRule type="cellIs" dxfId="925" priority="1084" stopIfTrue="1" operator="equal">
      <formula>#REF!</formula>
    </cfRule>
  </conditionalFormatting>
  <conditionalFormatting sqref="O137:P137">
    <cfRule type="cellIs" dxfId="924" priority="1083" stopIfTrue="1" operator="equal">
      <formula>#REF!</formula>
    </cfRule>
  </conditionalFormatting>
  <conditionalFormatting sqref="O137:P137">
    <cfRule type="cellIs" dxfId="923" priority="1082" stopIfTrue="1" operator="equal">
      <formula>#REF!</formula>
    </cfRule>
  </conditionalFormatting>
  <conditionalFormatting sqref="O137:P137">
    <cfRule type="cellIs" dxfId="922" priority="1081" stopIfTrue="1" operator="equal">
      <formula>#REF!</formula>
    </cfRule>
  </conditionalFormatting>
  <conditionalFormatting sqref="O137:P137">
    <cfRule type="cellIs" dxfId="921" priority="1080" stopIfTrue="1" operator="equal">
      <formula>#REF!</formula>
    </cfRule>
  </conditionalFormatting>
  <conditionalFormatting sqref="O137:P137">
    <cfRule type="cellIs" dxfId="920" priority="1079" stopIfTrue="1" operator="equal">
      <formula>#REF!</formula>
    </cfRule>
  </conditionalFormatting>
  <conditionalFormatting sqref="P137">
    <cfRule type="cellIs" dxfId="919" priority="1078" stopIfTrue="1" operator="equal">
      <formula>#REF!</formula>
    </cfRule>
  </conditionalFormatting>
  <conditionalFormatting sqref="P137">
    <cfRule type="cellIs" dxfId="918" priority="1077" stopIfTrue="1" operator="equal">
      <formula>#REF!</formula>
    </cfRule>
  </conditionalFormatting>
  <conditionalFormatting sqref="P137">
    <cfRule type="cellIs" dxfId="917" priority="1076" stopIfTrue="1" operator="equal">
      <formula>#REF!</formula>
    </cfRule>
  </conditionalFormatting>
  <conditionalFormatting sqref="P137">
    <cfRule type="cellIs" dxfId="916" priority="1075" stopIfTrue="1" operator="equal">
      <formula>#REF!</formula>
    </cfRule>
  </conditionalFormatting>
  <conditionalFormatting sqref="P137">
    <cfRule type="cellIs" dxfId="915" priority="1074" stopIfTrue="1" operator="equal">
      <formula>#REF!</formula>
    </cfRule>
  </conditionalFormatting>
  <conditionalFormatting sqref="P137">
    <cfRule type="cellIs" dxfId="914" priority="1073" stopIfTrue="1" operator="equal">
      <formula>#REF!</formula>
    </cfRule>
  </conditionalFormatting>
  <conditionalFormatting sqref="P137">
    <cfRule type="cellIs" dxfId="913" priority="1072" stopIfTrue="1" operator="equal">
      <formula>#REF!</formula>
    </cfRule>
  </conditionalFormatting>
  <conditionalFormatting sqref="P137">
    <cfRule type="cellIs" dxfId="912" priority="1071" stopIfTrue="1" operator="equal">
      <formula>#REF!</formula>
    </cfRule>
  </conditionalFormatting>
  <conditionalFormatting sqref="P137">
    <cfRule type="cellIs" dxfId="911" priority="1070" stopIfTrue="1" operator="equal">
      <formula>#REF!</formula>
    </cfRule>
  </conditionalFormatting>
  <conditionalFormatting sqref="P137">
    <cfRule type="cellIs" dxfId="910" priority="1069" stopIfTrue="1" operator="equal">
      <formula>#REF!</formula>
    </cfRule>
  </conditionalFormatting>
  <conditionalFormatting sqref="P137">
    <cfRule type="cellIs" dxfId="909" priority="1068" stopIfTrue="1" operator="equal">
      <formula>#REF!</formula>
    </cfRule>
  </conditionalFormatting>
  <conditionalFormatting sqref="P137">
    <cfRule type="cellIs" dxfId="908" priority="1067" stopIfTrue="1" operator="equal">
      <formula>#REF!</formula>
    </cfRule>
  </conditionalFormatting>
  <conditionalFormatting sqref="P137">
    <cfRule type="cellIs" dxfId="907" priority="1066" stopIfTrue="1" operator="equal">
      <formula>#REF!</formula>
    </cfRule>
  </conditionalFormatting>
  <conditionalFormatting sqref="P137">
    <cfRule type="cellIs" dxfId="906" priority="1065" stopIfTrue="1" operator="equal">
      <formula>#REF!</formula>
    </cfRule>
  </conditionalFormatting>
  <conditionalFormatting sqref="P137">
    <cfRule type="cellIs" dxfId="905" priority="1064" stopIfTrue="1" operator="equal">
      <formula>#REF!</formula>
    </cfRule>
  </conditionalFormatting>
  <conditionalFormatting sqref="P137">
    <cfRule type="cellIs" dxfId="904" priority="1063" stopIfTrue="1" operator="equal">
      <formula>#REF!</formula>
    </cfRule>
  </conditionalFormatting>
  <conditionalFormatting sqref="P137">
    <cfRule type="cellIs" dxfId="903" priority="1062" stopIfTrue="1" operator="equal">
      <formula>#REF!</formula>
    </cfRule>
  </conditionalFormatting>
  <conditionalFormatting sqref="P137">
    <cfRule type="cellIs" dxfId="902" priority="1061" stopIfTrue="1" operator="equal">
      <formula>#REF!</formula>
    </cfRule>
  </conditionalFormatting>
  <conditionalFormatting sqref="P137">
    <cfRule type="cellIs" dxfId="901" priority="1060" stopIfTrue="1" operator="equal">
      <formula>#REF!</formula>
    </cfRule>
  </conditionalFormatting>
  <conditionalFormatting sqref="P137">
    <cfRule type="cellIs" dxfId="900" priority="1059" stopIfTrue="1" operator="equal">
      <formula>#REF!</formula>
    </cfRule>
  </conditionalFormatting>
  <conditionalFormatting sqref="P137">
    <cfRule type="cellIs" dxfId="899" priority="1058" stopIfTrue="1" operator="equal">
      <formula>#REF!</formula>
    </cfRule>
  </conditionalFormatting>
  <conditionalFormatting sqref="P137">
    <cfRule type="cellIs" dxfId="898" priority="1057" stopIfTrue="1" operator="equal">
      <formula>#REF!</formula>
    </cfRule>
  </conditionalFormatting>
  <conditionalFormatting sqref="P137">
    <cfRule type="cellIs" dxfId="897" priority="1056" stopIfTrue="1" operator="equal">
      <formula>#REF!</formula>
    </cfRule>
  </conditionalFormatting>
  <conditionalFormatting sqref="P137">
    <cfRule type="cellIs" dxfId="896" priority="1055" stopIfTrue="1" operator="equal">
      <formula>#REF!</formula>
    </cfRule>
  </conditionalFormatting>
  <conditionalFormatting sqref="P137">
    <cfRule type="cellIs" dxfId="895" priority="1054" stopIfTrue="1" operator="equal">
      <formula>#REF!</formula>
    </cfRule>
  </conditionalFormatting>
  <conditionalFormatting sqref="P137">
    <cfRule type="cellIs" dxfId="894" priority="1053" stopIfTrue="1" operator="equal">
      <formula>#REF!</formula>
    </cfRule>
  </conditionalFormatting>
  <conditionalFormatting sqref="P137">
    <cfRule type="cellIs" dxfId="893" priority="1052" stopIfTrue="1" operator="equal">
      <formula>#REF!</formula>
    </cfRule>
  </conditionalFormatting>
  <conditionalFormatting sqref="P137">
    <cfRule type="cellIs" dxfId="892" priority="1051" stopIfTrue="1" operator="equal">
      <formula>#REF!</formula>
    </cfRule>
  </conditionalFormatting>
  <conditionalFormatting sqref="P137">
    <cfRule type="cellIs" dxfId="891" priority="1050" stopIfTrue="1" operator="equal">
      <formula>#REF!</formula>
    </cfRule>
  </conditionalFormatting>
  <conditionalFormatting sqref="P137">
    <cfRule type="cellIs" dxfId="890" priority="1049" stopIfTrue="1" operator="equal">
      <formula>#REF!</formula>
    </cfRule>
  </conditionalFormatting>
  <conditionalFormatting sqref="P137">
    <cfRule type="cellIs" dxfId="889" priority="1048" stopIfTrue="1" operator="equal">
      <formula>#REF!</formula>
    </cfRule>
  </conditionalFormatting>
  <conditionalFormatting sqref="O137:P137">
    <cfRule type="cellIs" dxfId="888" priority="1047" stopIfTrue="1" operator="equal">
      <formula>#REF!</formula>
    </cfRule>
  </conditionalFormatting>
  <conditionalFormatting sqref="O137:P137">
    <cfRule type="cellIs" dxfId="887" priority="1046" stopIfTrue="1" operator="equal">
      <formula>#REF!</formula>
    </cfRule>
  </conditionalFormatting>
  <conditionalFormatting sqref="O137:P137">
    <cfRule type="cellIs" dxfId="886" priority="1045" stopIfTrue="1" operator="equal">
      <formula>#REF!</formula>
    </cfRule>
  </conditionalFormatting>
  <conditionalFormatting sqref="O137:P137">
    <cfRule type="cellIs" dxfId="885" priority="1044" stopIfTrue="1" operator="equal">
      <formula>#REF!</formula>
    </cfRule>
  </conditionalFormatting>
  <conditionalFormatting sqref="O137:P137">
    <cfRule type="cellIs" dxfId="884" priority="1043" stopIfTrue="1" operator="equal">
      <formula>#REF!</formula>
    </cfRule>
  </conditionalFormatting>
  <conditionalFormatting sqref="O137:P137">
    <cfRule type="cellIs" dxfId="883" priority="1042" stopIfTrue="1" operator="equal">
      <formula>#REF!</formula>
    </cfRule>
  </conditionalFormatting>
  <conditionalFormatting sqref="O137:P137">
    <cfRule type="cellIs" dxfId="882" priority="1041" stopIfTrue="1" operator="equal">
      <formula>#REF!</formula>
    </cfRule>
  </conditionalFormatting>
  <conditionalFormatting sqref="O137:P137">
    <cfRule type="cellIs" dxfId="881" priority="1040" stopIfTrue="1" operator="equal">
      <formula>#REF!</formula>
    </cfRule>
  </conditionalFormatting>
  <conditionalFormatting sqref="O137:P137">
    <cfRule type="cellIs" dxfId="880" priority="1039" stopIfTrue="1" operator="equal">
      <formula>#REF!</formula>
    </cfRule>
  </conditionalFormatting>
  <conditionalFormatting sqref="O137:P137">
    <cfRule type="cellIs" dxfId="879" priority="1038" stopIfTrue="1" operator="equal">
      <formula>#REF!</formula>
    </cfRule>
  </conditionalFormatting>
  <conditionalFormatting sqref="O137:P137">
    <cfRule type="cellIs" dxfId="878" priority="1037" stopIfTrue="1" operator="equal">
      <formula>#REF!</formula>
    </cfRule>
  </conditionalFormatting>
  <conditionalFormatting sqref="O137:P137">
    <cfRule type="cellIs" dxfId="877" priority="1036" stopIfTrue="1" operator="equal">
      <formula>#REF!</formula>
    </cfRule>
  </conditionalFormatting>
  <conditionalFormatting sqref="O137:P137">
    <cfRule type="cellIs" dxfId="876" priority="1035" stopIfTrue="1" operator="equal">
      <formula>#REF!</formula>
    </cfRule>
  </conditionalFormatting>
  <conditionalFormatting sqref="O137:P137">
    <cfRule type="cellIs" dxfId="875" priority="1034" stopIfTrue="1" operator="equal">
      <formula>#REF!</formula>
    </cfRule>
  </conditionalFormatting>
  <conditionalFormatting sqref="O137:P137">
    <cfRule type="cellIs" dxfId="874" priority="1033" stopIfTrue="1" operator="equal">
      <formula>#REF!</formula>
    </cfRule>
  </conditionalFormatting>
  <conditionalFormatting sqref="O137:P137">
    <cfRule type="cellIs" dxfId="873" priority="1032" stopIfTrue="1" operator="equal">
      <formula>#REF!</formula>
    </cfRule>
  </conditionalFormatting>
  <conditionalFormatting sqref="O137:P137">
    <cfRule type="cellIs" dxfId="872" priority="1031" stopIfTrue="1" operator="equal">
      <formula>#REF!</formula>
    </cfRule>
  </conditionalFormatting>
  <conditionalFormatting sqref="O137:P137">
    <cfRule type="cellIs" dxfId="871" priority="1030" stopIfTrue="1" operator="equal">
      <formula>#REF!</formula>
    </cfRule>
  </conditionalFormatting>
  <conditionalFormatting sqref="O137:P137">
    <cfRule type="cellIs" dxfId="870" priority="1029" stopIfTrue="1" operator="equal">
      <formula>#REF!</formula>
    </cfRule>
  </conditionalFormatting>
  <conditionalFormatting sqref="O137:P137">
    <cfRule type="cellIs" dxfId="869" priority="1028" stopIfTrue="1" operator="equal">
      <formula>#REF!</formula>
    </cfRule>
  </conditionalFormatting>
  <conditionalFormatting sqref="O137:P137">
    <cfRule type="cellIs" dxfId="868" priority="1027" stopIfTrue="1" operator="equal">
      <formula>#REF!</formula>
    </cfRule>
  </conditionalFormatting>
  <conditionalFormatting sqref="P137">
    <cfRule type="cellIs" dxfId="867" priority="1026" stopIfTrue="1" operator="equal">
      <formula>#REF!</formula>
    </cfRule>
  </conditionalFormatting>
  <conditionalFormatting sqref="P137">
    <cfRule type="cellIs" dxfId="866" priority="1025" stopIfTrue="1" operator="equal">
      <formula>#REF!</formula>
    </cfRule>
  </conditionalFormatting>
  <conditionalFormatting sqref="P137">
    <cfRule type="cellIs" dxfId="865" priority="1024" stopIfTrue="1" operator="equal">
      <formula>#REF!</formula>
    </cfRule>
  </conditionalFormatting>
  <conditionalFormatting sqref="P137">
    <cfRule type="cellIs" dxfId="864" priority="1023" stopIfTrue="1" operator="equal">
      <formula>#REF!</formula>
    </cfRule>
  </conditionalFormatting>
  <conditionalFormatting sqref="P137">
    <cfRule type="cellIs" dxfId="863" priority="1022" stopIfTrue="1" operator="equal">
      <formula>#REF!</formula>
    </cfRule>
  </conditionalFormatting>
  <conditionalFormatting sqref="P137">
    <cfRule type="cellIs" dxfId="862" priority="1021" stopIfTrue="1" operator="equal">
      <formula>#REF!</formula>
    </cfRule>
  </conditionalFormatting>
  <conditionalFormatting sqref="P137">
    <cfRule type="cellIs" dxfId="861" priority="1020" stopIfTrue="1" operator="equal">
      <formula>#REF!</formula>
    </cfRule>
  </conditionalFormatting>
  <conditionalFormatting sqref="P137">
    <cfRule type="cellIs" dxfId="860" priority="1019" stopIfTrue="1" operator="equal">
      <formula>#REF!</formula>
    </cfRule>
  </conditionalFormatting>
  <conditionalFormatting sqref="P137">
    <cfRule type="cellIs" dxfId="859" priority="1018" stopIfTrue="1" operator="equal">
      <formula>#REF!</formula>
    </cfRule>
  </conditionalFormatting>
  <conditionalFormatting sqref="P137">
    <cfRule type="cellIs" dxfId="858" priority="1017" stopIfTrue="1" operator="equal">
      <formula>#REF!</formula>
    </cfRule>
  </conditionalFormatting>
  <conditionalFormatting sqref="P137">
    <cfRule type="cellIs" dxfId="857" priority="1016" stopIfTrue="1" operator="equal">
      <formula>#REF!</formula>
    </cfRule>
  </conditionalFormatting>
  <conditionalFormatting sqref="P137">
    <cfRule type="cellIs" dxfId="856" priority="1015" stopIfTrue="1" operator="equal">
      <formula>#REF!</formula>
    </cfRule>
  </conditionalFormatting>
  <conditionalFormatting sqref="P137">
    <cfRule type="cellIs" dxfId="855" priority="1014" stopIfTrue="1" operator="equal">
      <formula>#REF!</formula>
    </cfRule>
  </conditionalFormatting>
  <conditionalFormatting sqref="P137">
    <cfRule type="cellIs" dxfId="854" priority="1013" stopIfTrue="1" operator="equal">
      <formula>#REF!</formula>
    </cfRule>
  </conditionalFormatting>
  <conditionalFormatting sqref="P137">
    <cfRule type="cellIs" dxfId="853" priority="1012" stopIfTrue="1" operator="equal">
      <formula>#REF!</formula>
    </cfRule>
  </conditionalFormatting>
  <conditionalFormatting sqref="P137">
    <cfRule type="cellIs" dxfId="852" priority="1011" stopIfTrue="1" operator="equal">
      <formula>#REF!</formula>
    </cfRule>
  </conditionalFormatting>
  <conditionalFormatting sqref="P137">
    <cfRule type="cellIs" dxfId="851" priority="1010" stopIfTrue="1" operator="equal">
      <formula>#REF!</formula>
    </cfRule>
  </conditionalFormatting>
  <conditionalFormatting sqref="P137">
    <cfRule type="cellIs" dxfId="850" priority="1009" stopIfTrue="1" operator="equal">
      <formula>#REF!</formula>
    </cfRule>
  </conditionalFormatting>
  <conditionalFormatting sqref="P137">
    <cfRule type="cellIs" dxfId="849" priority="1008" stopIfTrue="1" operator="equal">
      <formula>#REF!</formula>
    </cfRule>
  </conditionalFormatting>
  <conditionalFormatting sqref="P137">
    <cfRule type="cellIs" dxfId="848" priority="1007" stopIfTrue="1" operator="equal">
      <formula>#REF!</formula>
    </cfRule>
  </conditionalFormatting>
  <conditionalFormatting sqref="P137">
    <cfRule type="cellIs" dxfId="847" priority="1006" stopIfTrue="1" operator="equal">
      <formula>#REF!</formula>
    </cfRule>
  </conditionalFormatting>
  <conditionalFormatting sqref="P137">
    <cfRule type="cellIs" dxfId="846" priority="1005" stopIfTrue="1" operator="equal">
      <formula>#REF!</formula>
    </cfRule>
  </conditionalFormatting>
  <conditionalFormatting sqref="P137">
    <cfRule type="cellIs" dxfId="845" priority="1004" stopIfTrue="1" operator="equal">
      <formula>#REF!</formula>
    </cfRule>
  </conditionalFormatting>
  <conditionalFormatting sqref="P137">
    <cfRule type="cellIs" dxfId="844" priority="1003" stopIfTrue="1" operator="equal">
      <formula>#REF!</formula>
    </cfRule>
  </conditionalFormatting>
  <conditionalFormatting sqref="P137">
    <cfRule type="cellIs" dxfId="843" priority="1002" stopIfTrue="1" operator="equal">
      <formula>#REF!</formula>
    </cfRule>
  </conditionalFormatting>
  <conditionalFormatting sqref="P137">
    <cfRule type="cellIs" dxfId="842" priority="1001" stopIfTrue="1" operator="equal">
      <formula>#REF!</formula>
    </cfRule>
  </conditionalFormatting>
  <conditionalFormatting sqref="P137">
    <cfRule type="cellIs" dxfId="841" priority="1000" stopIfTrue="1" operator="equal">
      <formula>#REF!</formula>
    </cfRule>
  </conditionalFormatting>
  <conditionalFormatting sqref="P137">
    <cfRule type="cellIs" dxfId="840" priority="999" stopIfTrue="1" operator="equal">
      <formula>#REF!</formula>
    </cfRule>
  </conditionalFormatting>
  <conditionalFormatting sqref="P137">
    <cfRule type="cellIs" dxfId="839" priority="998" stopIfTrue="1" operator="equal">
      <formula>#REF!</formula>
    </cfRule>
  </conditionalFormatting>
  <conditionalFormatting sqref="P137">
    <cfRule type="cellIs" dxfId="838" priority="997" stopIfTrue="1" operator="equal">
      <formula>#REF!</formula>
    </cfRule>
  </conditionalFormatting>
  <conditionalFormatting sqref="P137">
    <cfRule type="cellIs" dxfId="837" priority="996" stopIfTrue="1" operator="equal">
      <formula>#REF!</formula>
    </cfRule>
  </conditionalFormatting>
  <conditionalFormatting sqref="O136:P136">
    <cfRule type="cellIs" dxfId="836" priority="995" stopIfTrue="1" operator="equal">
      <formula>#REF!</formula>
    </cfRule>
  </conditionalFormatting>
  <conditionalFormatting sqref="O136:P136">
    <cfRule type="cellIs" dxfId="835" priority="994" stopIfTrue="1" operator="equal">
      <formula>#REF!</formula>
    </cfRule>
  </conditionalFormatting>
  <conditionalFormatting sqref="O136:P136">
    <cfRule type="cellIs" dxfId="834" priority="993" stopIfTrue="1" operator="equal">
      <formula>#REF!</formula>
    </cfRule>
  </conditionalFormatting>
  <conditionalFormatting sqref="O136:P136">
    <cfRule type="cellIs" dxfId="833" priority="992" stopIfTrue="1" operator="equal">
      <formula>#REF!</formula>
    </cfRule>
  </conditionalFormatting>
  <conditionalFormatting sqref="O136:P136">
    <cfRule type="cellIs" dxfId="832" priority="991" stopIfTrue="1" operator="equal">
      <formula>#REF!</formula>
    </cfRule>
  </conditionalFormatting>
  <conditionalFormatting sqref="O136:P136">
    <cfRule type="cellIs" dxfId="831" priority="990" stopIfTrue="1" operator="equal">
      <formula>#REF!</formula>
    </cfRule>
  </conditionalFormatting>
  <conditionalFormatting sqref="O136:P136">
    <cfRule type="cellIs" dxfId="830" priority="989" stopIfTrue="1" operator="equal">
      <formula>#REF!</formula>
    </cfRule>
  </conditionalFormatting>
  <conditionalFormatting sqref="O136:P136">
    <cfRule type="cellIs" dxfId="829" priority="988" stopIfTrue="1" operator="equal">
      <formula>#REF!</formula>
    </cfRule>
  </conditionalFormatting>
  <conditionalFormatting sqref="O136:P136">
    <cfRule type="cellIs" dxfId="828" priority="987" stopIfTrue="1" operator="equal">
      <formula>#REF!</formula>
    </cfRule>
  </conditionalFormatting>
  <conditionalFormatting sqref="O136:P136">
    <cfRule type="cellIs" dxfId="827" priority="986" stopIfTrue="1" operator="equal">
      <formula>#REF!</formula>
    </cfRule>
  </conditionalFormatting>
  <conditionalFormatting sqref="O136:P136">
    <cfRule type="cellIs" dxfId="826" priority="985" stopIfTrue="1" operator="equal">
      <formula>#REF!</formula>
    </cfRule>
  </conditionalFormatting>
  <conditionalFormatting sqref="O136:P136">
    <cfRule type="cellIs" dxfId="825" priority="984" stopIfTrue="1" operator="equal">
      <formula>#REF!</formula>
    </cfRule>
  </conditionalFormatting>
  <conditionalFormatting sqref="O136:P136">
    <cfRule type="cellIs" dxfId="824" priority="983" stopIfTrue="1" operator="equal">
      <formula>#REF!</formula>
    </cfRule>
  </conditionalFormatting>
  <conditionalFormatting sqref="O136:P136">
    <cfRule type="cellIs" dxfId="823" priority="982" stopIfTrue="1" operator="equal">
      <formula>#REF!</formula>
    </cfRule>
  </conditionalFormatting>
  <conditionalFormatting sqref="O136:P136">
    <cfRule type="cellIs" dxfId="822" priority="981" stopIfTrue="1" operator="equal">
      <formula>#REF!</formula>
    </cfRule>
  </conditionalFormatting>
  <conditionalFormatting sqref="O136:P136">
    <cfRule type="cellIs" dxfId="821" priority="980" stopIfTrue="1" operator="equal">
      <formula>#REF!</formula>
    </cfRule>
  </conditionalFormatting>
  <conditionalFormatting sqref="O136:P136">
    <cfRule type="cellIs" dxfId="820" priority="979" stopIfTrue="1" operator="equal">
      <formula>#REF!</formula>
    </cfRule>
  </conditionalFormatting>
  <conditionalFormatting sqref="O136:P136">
    <cfRule type="cellIs" dxfId="819" priority="978" stopIfTrue="1" operator="equal">
      <formula>#REF!</formula>
    </cfRule>
  </conditionalFormatting>
  <conditionalFormatting sqref="O136:P136">
    <cfRule type="cellIs" dxfId="818" priority="977" stopIfTrue="1" operator="equal">
      <formula>#REF!</formula>
    </cfRule>
  </conditionalFormatting>
  <conditionalFormatting sqref="O136:P136">
    <cfRule type="cellIs" dxfId="817" priority="976" stopIfTrue="1" operator="equal">
      <formula>#REF!</formula>
    </cfRule>
  </conditionalFormatting>
  <conditionalFormatting sqref="O136:P136">
    <cfRule type="cellIs" dxfId="816" priority="975" stopIfTrue="1" operator="equal">
      <formula>#REF!</formula>
    </cfRule>
  </conditionalFormatting>
  <conditionalFormatting sqref="P136">
    <cfRule type="cellIs" dxfId="815" priority="974" stopIfTrue="1" operator="equal">
      <formula>#REF!</formula>
    </cfRule>
  </conditionalFormatting>
  <conditionalFormatting sqref="P136">
    <cfRule type="cellIs" dxfId="814" priority="973" stopIfTrue="1" operator="equal">
      <formula>#REF!</formula>
    </cfRule>
  </conditionalFormatting>
  <conditionalFormatting sqref="P136">
    <cfRule type="cellIs" dxfId="813" priority="972" stopIfTrue="1" operator="equal">
      <formula>#REF!</formula>
    </cfRule>
  </conditionalFormatting>
  <conditionalFormatting sqref="P136">
    <cfRule type="cellIs" dxfId="812" priority="971" stopIfTrue="1" operator="equal">
      <formula>#REF!</formula>
    </cfRule>
  </conditionalFormatting>
  <conditionalFormatting sqref="P136">
    <cfRule type="cellIs" dxfId="811" priority="970" stopIfTrue="1" operator="equal">
      <formula>#REF!</formula>
    </cfRule>
  </conditionalFormatting>
  <conditionalFormatting sqref="P136">
    <cfRule type="cellIs" dxfId="810" priority="969" stopIfTrue="1" operator="equal">
      <formula>#REF!</formula>
    </cfRule>
  </conditionalFormatting>
  <conditionalFormatting sqref="P136">
    <cfRule type="cellIs" dxfId="809" priority="968" stopIfTrue="1" operator="equal">
      <formula>#REF!</formula>
    </cfRule>
  </conditionalFormatting>
  <conditionalFormatting sqref="P136">
    <cfRule type="cellIs" dxfId="808" priority="967" stopIfTrue="1" operator="equal">
      <formula>#REF!</formula>
    </cfRule>
  </conditionalFormatting>
  <conditionalFormatting sqref="P136">
    <cfRule type="cellIs" dxfId="807" priority="966" stopIfTrue="1" operator="equal">
      <formula>#REF!</formula>
    </cfRule>
  </conditionalFormatting>
  <conditionalFormatting sqref="P136">
    <cfRule type="cellIs" dxfId="806" priority="965" stopIfTrue="1" operator="equal">
      <formula>#REF!</formula>
    </cfRule>
  </conditionalFormatting>
  <conditionalFormatting sqref="P136">
    <cfRule type="cellIs" dxfId="805" priority="964" stopIfTrue="1" operator="equal">
      <formula>#REF!</formula>
    </cfRule>
  </conditionalFormatting>
  <conditionalFormatting sqref="P136">
    <cfRule type="cellIs" dxfId="804" priority="963" stopIfTrue="1" operator="equal">
      <formula>#REF!</formula>
    </cfRule>
  </conditionalFormatting>
  <conditionalFormatting sqref="P136">
    <cfRule type="cellIs" dxfId="803" priority="962" stopIfTrue="1" operator="equal">
      <formula>#REF!</formula>
    </cfRule>
  </conditionalFormatting>
  <conditionalFormatting sqref="P136">
    <cfRule type="cellIs" dxfId="802" priority="961" stopIfTrue="1" operator="equal">
      <formula>#REF!</formula>
    </cfRule>
  </conditionalFormatting>
  <conditionalFormatting sqref="P136">
    <cfRule type="cellIs" dxfId="801" priority="960" stopIfTrue="1" operator="equal">
      <formula>#REF!</formula>
    </cfRule>
  </conditionalFormatting>
  <conditionalFormatting sqref="P136">
    <cfRule type="cellIs" dxfId="800" priority="959" stopIfTrue="1" operator="equal">
      <formula>#REF!</formula>
    </cfRule>
  </conditionalFormatting>
  <conditionalFormatting sqref="P136">
    <cfRule type="cellIs" dxfId="799" priority="958" stopIfTrue="1" operator="equal">
      <formula>#REF!</formula>
    </cfRule>
  </conditionalFormatting>
  <conditionalFormatting sqref="P136">
    <cfRule type="cellIs" dxfId="798" priority="957" stopIfTrue="1" operator="equal">
      <formula>#REF!</formula>
    </cfRule>
  </conditionalFormatting>
  <conditionalFormatting sqref="P136">
    <cfRule type="cellIs" dxfId="797" priority="956" stopIfTrue="1" operator="equal">
      <formula>#REF!</formula>
    </cfRule>
  </conditionalFormatting>
  <conditionalFormatting sqref="P136">
    <cfRule type="cellIs" dxfId="796" priority="955" stopIfTrue="1" operator="equal">
      <formula>#REF!</formula>
    </cfRule>
  </conditionalFormatting>
  <conditionalFormatting sqref="P136">
    <cfRule type="cellIs" dxfId="795" priority="954" stopIfTrue="1" operator="equal">
      <formula>#REF!</formula>
    </cfRule>
  </conditionalFormatting>
  <conditionalFormatting sqref="P136">
    <cfRule type="cellIs" dxfId="794" priority="953" stopIfTrue="1" operator="equal">
      <formula>#REF!</formula>
    </cfRule>
  </conditionalFormatting>
  <conditionalFormatting sqref="P136">
    <cfRule type="cellIs" dxfId="793" priority="952" stopIfTrue="1" operator="equal">
      <formula>#REF!</formula>
    </cfRule>
  </conditionalFormatting>
  <conditionalFormatting sqref="P136">
    <cfRule type="cellIs" dxfId="792" priority="951" stopIfTrue="1" operator="equal">
      <formula>#REF!</formula>
    </cfRule>
  </conditionalFormatting>
  <conditionalFormatting sqref="P136">
    <cfRule type="cellIs" dxfId="791" priority="950" stopIfTrue="1" operator="equal">
      <formula>#REF!</formula>
    </cfRule>
  </conditionalFormatting>
  <conditionalFormatting sqref="P136">
    <cfRule type="cellIs" dxfId="790" priority="949" stopIfTrue="1" operator="equal">
      <formula>#REF!</formula>
    </cfRule>
  </conditionalFormatting>
  <conditionalFormatting sqref="P136">
    <cfRule type="cellIs" dxfId="789" priority="948" stopIfTrue="1" operator="equal">
      <formula>#REF!</formula>
    </cfRule>
  </conditionalFormatting>
  <conditionalFormatting sqref="P136">
    <cfRule type="cellIs" dxfId="788" priority="947" stopIfTrue="1" operator="equal">
      <formula>#REF!</formula>
    </cfRule>
  </conditionalFormatting>
  <conditionalFormatting sqref="P136">
    <cfRule type="cellIs" dxfId="787" priority="946" stopIfTrue="1" operator="equal">
      <formula>#REF!</formula>
    </cfRule>
  </conditionalFormatting>
  <conditionalFormatting sqref="P136">
    <cfRule type="cellIs" dxfId="786" priority="945" stopIfTrue="1" operator="equal">
      <formula>#REF!</formula>
    </cfRule>
  </conditionalFormatting>
  <conditionalFormatting sqref="P136">
    <cfRule type="cellIs" dxfId="785" priority="944" stopIfTrue="1" operator="equal">
      <formula>#REF!</formula>
    </cfRule>
  </conditionalFormatting>
  <conditionalFormatting sqref="O136:P136">
    <cfRule type="cellIs" dxfId="784" priority="943" stopIfTrue="1" operator="equal">
      <formula>#REF!</formula>
    </cfRule>
  </conditionalFormatting>
  <conditionalFormatting sqref="O136:P136">
    <cfRule type="cellIs" dxfId="783" priority="942" stopIfTrue="1" operator="equal">
      <formula>#REF!</formula>
    </cfRule>
  </conditionalFormatting>
  <conditionalFormatting sqref="O136:P136">
    <cfRule type="cellIs" dxfId="782" priority="941" stopIfTrue="1" operator="equal">
      <formula>#REF!</formula>
    </cfRule>
  </conditionalFormatting>
  <conditionalFormatting sqref="O136:P136">
    <cfRule type="cellIs" dxfId="781" priority="940" stopIfTrue="1" operator="equal">
      <formula>#REF!</formula>
    </cfRule>
  </conditionalFormatting>
  <conditionalFormatting sqref="O136:P136">
    <cfRule type="cellIs" dxfId="780" priority="939" stopIfTrue="1" operator="equal">
      <formula>#REF!</formula>
    </cfRule>
  </conditionalFormatting>
  <conditionalFormatting sqref="O136:P136">
    <cfRule type="cellIs" dxfId="779" priority="938" stopIfTrue="1" operator="equal">
      <formula>#REF!</formula>
    </cfRule>
  </conditionalFormatting>
  <conditionalFormatting sqref="O136:P136">
    <cfRule type="cellIs" dxfId="778" priority="937" stopIfTrue="1" operator="equal">
      <formula>#REF!</formula>
    </cfRule>
  </conditionalFormatting>
  <conditionalFormatting sqref="O136:P136">
    <cfRule type="cellIs" dxfId="777" priority="936" stopIfTrue="1" operator="equal">
      <formula>#REF!</formula>
    </cfRule>
  </conditionalFormatting>
  <conditionalFormatting sqref="O136:P136">
    <cfRule type="cellIs" dxfId="776" priority="934" stopIfTrue="1" operator="equal">
      <formula>#REF!</formula>
    </cfRule>
  </conditionalFormatting>
  <conditionalFormatting sqref="O136:P136">
    <cfRule type="cellIs" dxfId="775" priority="933" stopIfTrue="1" operator="equal">
      <formula>#REF!</formula>
    </cfRule>
  </conditionalFormatting>
  <conditionalFormatting sqref="O136:P136">
    <cfRule type="cellIs" dxfId="774" priority="932" stopIfTrue="1" operator="equal">
      <formula>#REF!</formula>
    </cfRule>
  </conditionalFormatting>
  <conditionalFormatting sqref="O136:P136">
    <cfRule type="cellIs" dxfId="773" priority="931" stopIfTrue="1" operator="equal">
      <formula>#REF!</formula>
    </cfRule>
  </conditionalFormatting>
  <conditionalFormatting sqref="O136:P136">
    <cfRule type="cellIs" dxfId="772" priority="930" stopIfTrue="1" operator="equal">
      <formula>#REF!</formula>
    </cfRule>
  </conditionalFormatting>
  <conditionalFormatting sqref="O136:P136">
    <cfRule type="cellIs" dxfId="771" priority="929" stopIfTrue="1" operator="equal">
      <formula>#REF!</formula>
    </cfRule>
  </conditionalFormatting>
  <conditionalFormatting sqref="O136:P136">
    <cfRule type="cellIs" dxfId="770" priority="928" stopIfTrue="1" operator="equal">
      <formula>#REF!</formula>
    </cfRule>
  </conditionalFormatting>
  <conditionalFormatting sqref="O136:P136">
    <cfRule type="cellIs" dxfId="769" priority="927" stopIfTrue="1" operator="equal">
      <formula>#REF!</formula>
    </cfRule>
  </conditionalFormatting>
  <conditionalFormatting sqref="O136:P136">
    <cfRule type="cellIs" dxfId="768" priority="926" stopIfTrue="1" operator="equal">
      <formula>#REF!</formula>
    </cfRule>
  </conditionalFormatting>
  <conditionalFormatting sqref="O136:P136">
    <cfRule type="cellIs" dxfId="767" priority="924" stopIfTrue="1" operator="equal">
      <formula>#REF!</formula>
    </cfRule>
  </conditionalFormatting>
  <conditionalFormatting sqref="O136:P136">
    <cfRule type="cellIs" dxfId="766" priority="923" stopIfTrue="1" operator="equal">
      <formula>#REF!</formula>
    </cfRule>
  </conditionalFormatting>
  <conditionalFormatting sqref="P136">
    <cfRule type="cellIs" dxfId="765" priority="922" stopIfTrue="1" operator="equal">
      <formula>#REF!</formula>
    </cfRule>
  </conditionalFormatting>
  <conditionalFormatting sqref="P136">
    <cfRule type="cellIs" dxfId="764" priority="921" stopIfTrue="1" operator="equal">
      <formula>#REF!</formula>
    </cfRule>
  </conditionalFormatting>
  <conditionalFormatting sqref="P136">
    <cfRule type="cellIs" dxfId="763" priority="920" stopIfTrue="1" operator="equal">
      <formula>#REF!</formula>
    </cfRule>
  </conditionalFormatting>
  <conditionalFormatting sqref="P136">
    <cfRule type="cellIs" dxfId="762" priority="919" stopIfTrue="1" operator="equal">
      <formula>#REF!</formula>
    </cfRule>
  </conditionalFormatting>
  <conditionalFormatting sqref="P136">
    <cfRule type="cellIs" dxfId="761" priority="918" stopIfTrue="1" operator="equal">
      <formula>#REF!</formula>
    </cfRule>
  </conditionalFormatting>
  <conditionalFormatting sqref="P136">
    <cfRule type="cellIs" dxfId="760" priority="917" stopIfTrue="1" operator="equal">
      <formula>#REF!</formula>
    </cfRule>
  </conditionalFormatting>
  <conditionalFormatting sqref="P136">
    <cfRule type="cellIs" dxfId="759" priority="916" stopIfTrue="1" operator="equal">
      <formula>#REF!</formula>
    </cfRule>
  </conditionalFormatting>
  <conditionalFormatting sqref="P136">
    <cfRule type="cellIs" dxfId="758" priority="915" stopIfTrue="1" operator="equal">
      <formula>#REF!</formula>
    </cfRule>
  </conditionalFormatting>
  <conditionalFormatting sqref="P136">
    <cfRule type="cellIs" dxfId="757" priority="914" stopIfTrue="1" operator="equal">
      <formula>#REF!</formula>
    </cfRule>
  </conditionalFormatting>
  <conditionalFormatting sqref="P136">
    <cfRule type="cellIs" dxfId="756" priority="913" stopIfTrue="1" operator="equal">
      <formula>#REF!</formula>
    </cfRule>
  </conditionalFormatting>
  <conditionalFormatting sqref="P136">
    <cfRule type="cellIs" dxfId="755" priority="912" stopIfTrue="1" operator="equal">
      <formula>#REF!</formula>
    </cfRule>
  </conditionalFormatting>
  <conditionalFormatting sqref="P136">
    <cfRule type="cellIs" dxfId="754" priority="911" stopIfTrue="1" operator="equal">
      <formula>#REF!</formula>
    </cfRule>
  </conditionalFormatting>
  <conditionalFormatting sqref="P136">
    <cfRule type="cellIs" dxfId="753" priority="910" stopIfTrue="1" operator="equal">
      <formula>#REF!</formula>
    </cfRule>
  </conditionalFormatting>
  <conditionalFormatting sqref="P136">
    <cfRule type="cellIs" dxfId="752" priority="909" stopIfTrue="1" operator="equal">
      <formula>#REF!</formula>
    </cfRule>
  </conditionalFormatting>
  <conditionalFormatting sqref="P136">
    <cfRule type="cellIs" dxfId="751" priority="908" stopIfTrue="1" operator="equal">
      <formula>#REF!</formula>
    </cfRule>
  </conditionalFormatting>
  <conditionalFormatting sqref="P136">
    <cfRule type="cellIs" dxfId="750" priority="907" stopIfTrue="1" operator="equal">
      <formula>#REF!</formula>
    </cfRule>
  </conditionalFormatting>
  <conditionalFormatting sqref="P136">
    <cfRule type="cellIs" dxfId="749" priority="906" stopIfTrue="1" operator="equal">
      <formula>#REF!</formula>
    </cfRule>
  </conditionalFormatting>
  <conditionalFormatting sqref="P136">
    <cfRule type="cellIs" dxfId="748" priority="905" stopIfTrue="1" operator="equal">
      <formula>#REF!</formula>
    </cfRule>
  </conditionalFormatting>
  <conditionalFormatting sqref="P136">
    <cfRule type="cellIs" dxfId="747" priority="904" stopIfTrue="1" operator="equal">
      <formula>#REF!</formula>
    </cfRule>
  </conditionalFormatting>
  <conditionalFormatting sqref="P136">
    <cfRule type="cellIs" dxfId="746" priority="903" stopIfTrue="1" operator="equal">
      <formula>#REF!</formula>
    </cfRule>
  </conditionalFormatting>
  <conditionalFormatting sqref="P136">
    <cfRule type="cellIs" dxfId="745" priority="902" stopIfTrue="1" operator="equal">
      <formula>#REF!</formula>
    </cfRule>
  </conditionalFormatting>
  <conditionalFormatting sqref="P136">
    <cfRule type="cellIs" dxfId="744" priority="901" stopIfTrue="1" operator="equal">
      <formula>#REF!</formula>
    </cfRule>
  </conditionalFormatting>
  <conditionalFormatting sqref="P136">
    <cfRule type="cellIs" dxfId="743" priority="900" stopIfTrue="1" operator="equal">
      <formula>#REF!</formula>
    </cfRule>
  </conditionalFormatting>
  <conditionalFormatting sqref="P136">
    <cfRule type="cellIs" dxfId="742" priority="899" stopIfTrue="1" operator="equal">
      <formula>#REF!</formula>
    </cfRule>
  </conditionalFormatting>
  <conditionalFormatting sqref="P136">
    <cfRule type="cellIs" dxfId="741" priority="898" stopIfTrue="1" operator="equal">
      <formula>#REF!</formula>
    </cfRule>
  </conditionalFormatting>
  <conditionalFormatting sqref="P136">
    <cfRule type="cellIs" dxfId="740" priority="897" stopIfTrue="1" operator="equal">
      <formula>#REF!</formula>
    </cfRule>
  </conditionalFormatting>
  <conditionalFormatting sqref="P136">
    <cfRule type="cellIs" dxfId="739" priority="896" stopIfTrue="1" operator="equal">
      <formula>#REF!</formula>
    </cfRule>
  </conditionalFormatting>
  <conditionalFormatting sqref="P136">
    <cfRule type="cellIs" dxfId="738" priority="895" stopIfTrue="1" operator="equal">
      <formula>#REF!</formula>
    </cfRule>
  </conditionalFormatting>
  <conditionalFormatting sqref="P136">
    <cfRule type="cellIs" dxfId="737" priority="894" stopIfTrue="1" operator="equal">
      <formula>#REF!</formula>
    </cfRule>
  </conditionalFormatting>
  <conditionalFormatting sqref="P136">
    <cfRule type="cellIs" dxfId="736" priority="893" stopIfTrue="1" operator="equal">
      <formula>#REF!</formula>
    </cfRule>
  </conditionalFormatting>
  <conditionalFormatting sqref="P136">
    <cfRule type="cellIs" dxfId="735" priority="892" stopIfTrue="1" operator="equal">
      <formula>#REF!</formula>
    </cfRule>
  </conditionalFormatting>
  <conditionalFormatting sqref="O134:P134">
    <cfRule type="cellIs" dxfId="734" priority="891" stopIfTrue="1" operator="equal">
      <formula>#REF!</formula>
    </cfRule>
  </conditionalFormatting>
  <conditionalFormatting sqref="O134:P134">
    <cfRule type="cellIs" dxfId="733" priority="890" stopIfTrue="1" operator="equal">
      <formula>#REF!</formula>
    </cfRule>
  </conditionalFormatting>
  <conditionalFormatting sqref="O134:P134">
    <cfRule type="cellIs" dxfId="732" priority="889" stopIfTrue="1" operator="equal">
      <formula>#REF!</formula>
    </cfRule>
  </conditionalFormatting>
  <conditionalFormatting sqref="O134:P134">
    <cfRule type="cellIs" dxfId="731" priority="888" stopIfTrue="1" operator="equal">
      <formula>#REF!</formula>
    </cfRule>
  </conditionalFormatting>
  <conditionalFormatting sqref="O134:P134">
    <cfRule type="cellIs" dxfId="730" priority="887" stopIfTrue="1" operator="equal">
      <formula>#REF!</formula>
    </cfRule>
  </conditionalFormatting>
  <conditionalFormatting sqref="O134:P134">
    <cfRule type="cellIs" dxfId="729" priority="886" stopIfTrue="1" operator="equal">
      <formula>#REF!</formula>
    </cfRule>
  </conditionalFormatting>
  <conditionalFormatting sqref="O134:P134">
    <cfRule type="cellIs" dxfId="728" priority="885" stopIfTrue="1" operator="equal">
      <formula>#REF!</formula>
    </cfRule>
  </conditionalFormatting>
  <conditionalFormatting sqref="O134:P134">
    <cfRule type="cellIs" dxfId="727" priority="884" stopIfTrue="1" operator="equal">
      <formula>#REF!</formula>
    </cfRule>
  </conditionalFormatting>
  <conditionalFormatting sqref="O134:P134">
    <cfRule type="cellIs" dxfId="726" priority="883" stopIfTrue="1" operator="equal">
      <formula>#REF!</formula>
    </cfRule>
  </conditionalFormatting>
  <conditionalFormatting sqref="O134:P134">
    <cfRule type="cellIs" dxfId="725" priority="882" stopIfTrue="1" operator="equal">
      <formula>#REF!</formula>
    </cfRule>
  </conditionalFormatting>
  <conditionalFormatting sqref="O134:P134">
    <cfRule type="cellIs" dxfId="724" priority="881" stopIfTrue="1" operator="equal">
      <formula>#REF!</formula>
    </cfRule>
  </conditionalFormatting>
  <conditionalFormatting sqref="O134:P134">
    <cfRule type="cellIs" dxfId="723" priority="880" stopIfTrue="1" operator="equal">
      <formula>#REF!</formula>
    </cfRule>
  </conditionalFormatting>
  <conditionalFormatting sqref="O134:P134">
    <cfRule type="cellIs" dxfId="722" priority="879" stopIfTrue="1" operator="equal">
      <formula>#REF!</formula>
    </cfRule>
  </conditionalFormatting>
  <conditionalFormatting sqref="O134:P134">
    <cfRule type="cellIs" dxfId="721" priority="878" stopIfTrue="1" operator="equal">
      <formula>#REF!</formula>
    </cfRule>
  </conditionalFormatting>
  <conditionalFormatting sqref="O134:P134">
    <cfRule type="cellIs" dxfId="720" priority="877" stopIfTrue="1" operator="equal">
      <formula>#REF!</formula>
    </cfRule>
  </conditionalFormatting>
  <conditionalFormatting sqref="O134:P134">
    <cfRule type="cellIs" dxfId="719" priority="876" stopIfTrue="1" operator="equal">
      <formula>#REF!</formula>
    </cfRule>
  </conditionalFormatting>
  <conditionalFormatting sqref="O134:P134">
    <cfRule type="cellIs" dxfId="718" priority="875" stopIfTrue="1" operator="equal">
      <formula>#REF!</formula>
    </cfRule>
  </conditionalFormatting>
  <conditionalFormatting sqref="O134:P134">
    <cfRule type="cellIs" dxfId="717" priority="874" stopIfTrue="1" operator="equal">
      <formula>#REF!</formula>
    </cfRule>
  </conditionalFormatting>
  <conditionalFormatting sqref="O134:P134">
    <cfRule type="cellIs" dxfId="716" priority="872" stopIfTrue="1" operator="equal">
      <formula>#REF!</formula>
    </cfRule>
  </conditionalFormatting>
  <conditionalFormatting sqref="O134:P134">
    <cfRule type="cellIs" dxfId="715" priority="871" stopIfTrue="1" operator="equal">
      <formula>#REF!</formula>
    </cfRule>
  </conditionalFormatting>
  <conditionalFormatting sqref="P134">
    <cfRule type="cellIs" dxfId="714" priority="870" stopIfTrue="1" operator="equal">
      <formula>#REF!</formula>
    </cfRule>
  </conditionalFormatting>
  <conditionalFormatting sqref="P134">
    <cfRule type="cellIs" dxfId="713" priority="869" stopIfTrue="1" operator="equal">
      <formula>#REF!</formula>
    </cfRule>
  </conditionalFormatting>
  <conditionalFormatting sqref="P134">
    <cfRule type="cellIs" dxfId="712" priority="868" stopIfTrue="1" operator="equal">
      <formula>#REF!</formula>
    </cfRule>
  </conditionalFormatting>
  <conditionalFormatting sqref="P134">
    <cfRule type="cellIs" dxfId="711" priority="867" stopIfTrue="1" operator="equal">
      <formula>#REF!</formula>
    </cfRule>
  </conditionalFormatting>
  <conditionalFormatting sqref="P134">
    <cfRule type="cellIs" dxfId="710" priority="866" stopIfTrue="1" operator="equal">
      <formula>#REF!</formula>
    </cfRule>
  </conditionalFormatting>
  <conditionalFormatting sqref="P134">
    <cfRule type="cellIs" dxfId="709" priority="865" stopIfTrue="1" operator="equal">
      <formula>#REF!</formula>
    </cfRule>
  </conditionalFormatting>
  <conditionalFormatting sqref="P134">
    <cfRule type="cellIs" dxfId="708" priority="864" stopIfTrue="1" operator="equal">
      <formula>#REF!</formula>
    </cfRule>
  </conditionalFormatting>
  <conditionalFormatting sqref="P134">
    <cfRule type="cellIs" dxfId="707" priority="863" stopIfTrue="1" operator="equal">
      <formula>#REF!</formula>
    </cfRule>
  </conditionalFormatting>
  <conditionalFormatting sqref="P134">
    <cfRule type="cellIs" dxfId="706" priority="862" stopIfTrue="1" operator="equal">
      <formula>#REF!</formula>
    </cfRule>
  </conditionalFormatting>
  <conditionalFormatting sqref="P134">
    <cfRule type="cellIs" dxfId="705" priority="861" stopIfTrue="1" operator="equal">
      <formula>#REF!</formula>
    </cfRule>
  </conditionalFormatting>
  <conditionalFormatting sqref="P134">
    <cfRule type="cellIs" dxfId="704" priority="860" stopIfTrue="1" operator="equal">
      <formula>#REF!</formula>
    </cfRule>
  </conditionalFormatting>
  <conditionalFormatting sqref="P134">
    <cfRule type="cellIs" dxfId="703" priority="859" stopIfTrue="1" operator="equal">
      <formula>#REF!</formula>
    </cfRule>
  </conditionalFormatting>
  <conditionalFormatting sqref="P134">
    <cfRule type="cellIs" dxfId="702" priority="858" stopIfTrue="1" operator="equal">
      <formula>#REF!</formula>
    </cfRule>
  </conditionalFormatting>
  <conditionalFormatting sqref="P134">
    <cfRule type="cellIs" dxfId="701" priority="857" stopIfTrue="1" operator="equal">
      <formula>#REF!</formula>
    </cfRule>
  </conditionalFormatting>
  <conditionalFormatting sqref="P134">
    <cfRule type="cellIs" dxfId="700" priority="856" stopIfTrue="1" operator="equal">
      <formula>#REF!</formula>
    </cfRule>
  </conditionalFormatting>
  <conditionalFormatting sqref="P134">
    <cfRule type="cellIs" dxfId="699" priority="855" stopIfTrue="1" operator="equal">
      <formula>#REF!</formula>
    </cfRule>
  </conditionalFormatting>
  <conditionalFormatting sqref="P134">
    <cfRule type="cellIs" dxfId="698" priority="854" stopIfTrue="1" operator="equal">
      <formula>#REF!</formula>
    </cfRule>
  </conditionalFormatting>
  <conditionalFormatting sqref="P134">
    <cfRule type="cellIs" dxfId="697" priority="853" stopIfTrue="1" operator="equal">
      <formula>#REF!</formula>
    </cfRule>
  </conditionalFormatting>
  <conditionalFormatting sqref="P134">
    <cfRule type="cellIs" dxfId="696" priority="852" stopIfTrue="1" operator="equal">
      <formula>#REF!</formula>
    </cfRule>
  </conditionalFormatting>
  <conditionalFormatting sqref="P134">
    <cfRule type="cellIs" dxfId="695" priority="851" stopIfTrue="1" operator="equal">
      <formula>#REF!</formula>
    </cfRule>
  </conditionalFormatting>
  <conditionalFormatting sqref="P134">
    <cfRule type="cellIs" dxfId="694" priority="850" stopIfTrue="1" operator="equal">
      <formula>#REF!</formula>
    </cfRule>
  </conditionalFormatting>
  <conditionalFormatting sqref="P134">
    <cfRule type="cellIs" dxfId="693" priority="849" stopIfTrue="1" operator="equal">
      <formula>#REF!</formula>
    </cfRule>
  </conditionalFormatting>
  <conditionalFormatting sqref="P134">
    <cfRule type="cellIs" dxfId="692" priority="848" stopIfTrue="1" operator="equal">
      <formula>#REF!</formula>
    </cfRule>
  </conditionalFormatting>
  <conditionalFormatting sqref="P134">
    <cfRule type="cellIs" dxfId="691" priority="847" stopIfTrue="1" operator="equal">
      <formula>#REF!</formula>
    </cfRule>
  </conditionalFormatting>
  <conditionalFormatting sqref="P134">
    <cfRule type="cellIs" dxfId="690" priority="846" stopIfTrue="1" operator="equal">
      <formula>#REF!</formula>
    </cfRule>
  </conditionalFormatting>
  <conditionalFormatting sqref="P134">
    <cfRule type="cellIs" dxfId="689" priority="845" stopIfTrue="1" operator="equal">
      <formula>#REF!</formula>
    </cfRule>
  </conditionalFormatting>
  <conditionalFormatting sqref="P134">
    <cfRule type="cellIs" dxfId="688" priority="844" stopIfTrue="1" operator="equal">
      <formula>#REF!</formula>
    </cfRule>
  </conditionalFormatting>
  <conditionalFormatting sqref="P134">
    <cfRule type="cellIs" dxfId="687" priority="843" stopIfTrue="1" operator="equal">
      <formula>#REF!</formula>
    </cfRule>
  </conditionalFormatting>
  <conditionalFormatting sqref="P134">
    <cfRule type="cellIs" dxfId="686" priority="842" stopIfTrue="1" operator="equal">
      <formula>#REF!</formula>
    </cfRule>
  </conditionalFormatting>
  <conditionalFormatting sqref="P134">
    <cfRule type="cellIs" dxfId="685" priority="841" stopIfTrue="1" operator="equal">
      <formula>#REF!</formula>
    </cfRule>
  </conditionalFormatting>
  <conditionalFormatting sqref="P134">
    <cfRule type="cellIs" dxfId="684" priority="840" stopIfTrue="1" operator="equal">
      <formula>#REF!</formula>
    </cfRule>
  </conditionalFormatting>
  <conditionalFormatting sqref="O134:P134">
    <cfRule type="cellIs" dxfId="683" priority="839" stopIfTrue="1" operator="equal">
      <formula>#REF!</formula>
    </cfRule>
  </conditionalFormatting>
  <conditionalFormatting sqref="O134:P134">
    <cfRule type="cellIs" dxfId="682" priority="838" stopIfTrue="1" operator="equal">
      <formula>#REF!</formula>
    </cfRule>
  </conditionalFormatting>
  <conditionalFormatting sqref="O134:P134">
    <cfRule type="cellIs" dxfId="681" priority="837" stopIfTrue="1" operator="equal">
      <formula>#REF!</formula>
    </cfRule>
  </conditionalFormatting>
  <conditionalFormatting sqref="O134:P134">
    <cfRule type="cellIs" dxfId="680" priority="836" stopIfTrue="1" operator="equal">
      <formula>#REF!</formula>
    </cfRule>
  </conditionalFormatting>
  <conditionalFormatting sqref="O134:P134">
    <cfRule type="cellIs" dxfId="679" priority="834" stopIfTrue="1" operator="equal">
      <formula>#REF!</formula>
    </cfRule>
  </conditionalFormatting>
  <conditionalFormatting sqref="O134:P134">
    <cfRule type="cellIs" dxfId="678" priority="833" stopIfTrue="1" operator="equal">
      <formula>#REF!</formula>
    </cfRule>
  </conditionalFormatting>
  <conditionalFormatting sqref="O134:P134">
    <cfRule type="cellIs" dxfId="677" priority="832" stopIfTrue="1" operator="equal">
      <formula>#REF!</formula>
    </cfRule>
  </conditionalFormatting>
  <conditionalFormatting sqref="O134:P134">
    <cfRule type="cellIs" dxfId="676" priority="831" stopIfTrue="1" operator="equal">
      <formula>#REF!</formula>
    </cfRule>
  </conditionalFormatting>
  <conditionalFormatting sqref="O134:P134">
    <cfRule type="cellIs" dxfId="675" priority="830" stopIfTrue="1" operator="equal">
      <formula>#REF!</formula>
    </cfRule>
  </conditionalFormatting>
  <conditionalFormatting sqref="O134:P134">
    <cfRule type="cellIs" dxfId="674" priority="829" stopIfTrue="1" operator="equal">
      <formula>#REF!</formula>
    </cfRule>
  </conditionalFormatting>
  <conditionalFormatting sqref="O134:P134">
    <cfRule type="cellIs" dxfId="673" priority="828" stopIfTrue="1" operator="equal">
      <formula>#REF!</formula>
    </cfRule>
  </conditionalFormatting>
  <conditionalFormatting sqref="O134:P134">
    <cfRule type="cellIs" dxfId="672" priority="827" stopIfTrue="1" operator="equal">
      <formula>#REF!</formula>
    </cfRule>
  </conditionalFormatting>
  <conditionalFormatting sqref="O134:P134">
    <cfRule type="cellIs" dxfId="671" priority="826" stopIfTrue="1" operator="equal">
      <formula>#REF!</formula>
    </cfRule>
  </conditionalFormatting>
  <conditionalFormatting sqref="O134:P134">
    <cfRule type="cellIs" dxfId="670" priority="825" stopIfTrue="1" operator="equal">
      <formula>#REF!</formula>
    </cfRule>
  </conditionalFormatting>
  <conditionalFormatting sqref="O134:P134">
    <cfRule type="cellIs" dxfId="669" priority="824" stopIfTrue="1" operator="equal">
      <formula>#REF!</formula>
    </cfRule>
  </conditionalFormatting>
  <conditionalFormatting sqref="O134:P134">
    <cfRule type="cellIs" dxfId="668" priority="823" stopIfTrue="1" operator="equal">
      <formula>#REF!</formula>
    </cfRule>
  </conditionalFormatting>
  <conditionalFormatting sqref="O134:P134">
    <cfRule type="cellIs" dxfId="667" priority="822" stopIfTrue="1" operator="equal">
      <formula>#REF!</formula>
    </cfRule>
  </conditionalFormatting>
  <conditionalFormatting sqref="O134:P134">
    <cfRule type="cellIs" dxfId="666" priority="821" stopIfTrue="1" operator="equal">
      <formula>#REF!</formula>
    </cfRule>
  </conditionalFormatting>
  <conditionalFormatting sqref="O134:P134">
    <cfRule type="cellIs" dxfId="665" priority="820" stopIfTrue="1" operator="equal">
      <formula>#REF!</formula>
    </cfRule>
  </conditionalFormatting>
  <conditionalFormatting sqref="O134:P134">
    <cfRule type="cellIs" dxfId="664" priority="819" stopIfTrue="1" operator="equal">
      <formula>#REF!</formula>
    </cfRule>
  </conditionalFormatting>
  <conditionalFormatting sqref="P134">
    <cfRule type="cellIs" dxfId="663" priority="818" stopIfTrue="1" operator="equal">
      <formula>#REF!</formula>
    </cfRule>
  </conditionalFormatting>
  <conditionalFormatting sqref="P134">
    <cfRule type="cellIs" dxfId="662" priority="817" stopIfTrue="1" operator="equal">
      <formula>#REF!</formula>
    </cfRule>
  </conditionalFormatting>
  <conditionalFormatting sqref="P134">
    <cfRule type="cellIs" dxfId="661" priority="816" stopIfTrue="1" operator="equal">
      <formula>#REF!</formula>
    </cfRule>
  </conditionalFormatting>
  <conditionalFormatting sqref="P134">
    <cfRule type="cellIs" dxfId="660" priority="815" stopIfTrue="1" operator="equal">
      <formula>#REF!</formula>
    </cfRule>
  </conditionalFormatting>
  <conditionalFormatting sqref="P134">
    <cfRule type="cellIs" dxfId="659" priority="814" stopIfTrue="1" operator="equal">
      <formula>#REF!</formula>
    </cfRule>
  </conditionalFormatting>
  <conditionalFormatting sqref="P134">
    <cfRule type="cellIs" dxfId="658" priority="813" stopIfTrue="1" operator="equal">
      <formula>#REF!</formula>
    </cfRule>
  </conditionalFormatting>
  <conditionalFormatting sqref="P134">
    <cfRule type="cellIs" dxfId="657" priority="812" stopIfTrue="1" operator="equal">
      <formula>#REF!</formula>
    </cfRule>
  </conditionalFormatting>
  <conditionalFormatting sqref="P134">
    <cfRule type="cellIs" dxfId="656" priority="811" stopIfTrue="1" operator="equal">
      <formula>#REF!</formula>
    </cfRule>
  </conditionalFormatting>
  <conditionalFormatting sqref="P134">
    <cfRule type="cellIs" dxfId="655" priority="810" stopIfTrue="1" operator="equal">
      <formula>#REF!</formula>
    </cfRule>
  </conditionalFormatting>
  <conditionalFormatting sqref="P134">
    <cfRule type="cellIs" dxfId="654" priority="809" stopIfTrue="1" operator="equal">
      <formula>#REF!</formula>
    </cfRule>
  </conditionalFormatting>
  <conditionalFormatting sqref="P134">
    <cfRule type="cellIs" dxfId="653" priority="808" stopIfTrue="1" operator="equal">
      <formula>#REF!</formula>
    </cfRule>
  </conditionalFormatting>
  <conditionalFormatting sqref="P134">
    <cfRule type="cellIs" dxfId="652" priority="807" stopIfTrue="1" operator="equal">
      <formula>#REF!</formula>
    </cfRule>
  </conditionalFormatting>
  <conditionalFormatting sqref="P134">
    <cfRule type="cellIs" dxfId="651" priority="806" stopIfTrue="1" operator="equal">
      <formula>#REF!</formula>
    </cfRule>
  </conditionalFormatting>
  <conditionalFormatting sqref="P134">
    <cfRule type="cellIs" dxfId="650" priority="805" stopIfTrue="1" operator="equal">
      <formula>#REF!</formula>
    </cfRule>
  </conditionalFormatting>
  <conditionalFormatting sqref="P134">
    <cfRule type="cellIs" dxfId="649" priority="804" stopIfTrue="1" operator="equal">
      <formula>#REF!</formula>
    </cfRule>
  </conditionalFormatting>
  <conditionalFormatting sqref="P134">
    <cfRule type="cellIs" dxfId="648" priority="803" stopIfTrue="1" operator="equal">
      <formula>#REF!</formula>
    </cfRule>
  </conditionalFormatting>
  <conditionalFormatting sqref="P134">
    <cfRule type="cellIs" dxfId="647" priority="802" stopIfTrue="1" operator="equal">
      <formula>#REF!</formula>
    </cfRule>
  </conditionalFormatting>
  <conditionalFormatting sqref="P134">
    <cfRule type="cellIs" dxfId="646" priority="801" stopIfTrue="1" operator="equal">
      <formula>#REF!</formula>
    </cfRule>
  </conditionalFormatting>
  <conditionalFormatting sqref="P134">
    <cfRule type="cellIs" dxfId="645" priority="800" stopIfTrue="1" operator="equal">
      <formula>#REF!</formula>
    </cfRule>
  </conditionalFormatting>
  <conditionalFormatting sqref="P134">
    <cfRule type="cellIs" dxfId="644" priority="799" stopIfTrue="1" operator="equal">
      <formula>#REF!</formula>
    </cfRule>
  </conditionalFormatting>
  <conditionalFormatting sqref="P134">
    <cfRule type="cellIs" dxfId="643" priority="798" stopIfTrue="1" operator="equal">
      <formula>#REF!</formula>
    </cfRule>
  </conditionalFormatting>
  <conditionalFormatting sqref="P134">
    <cfRule type="cellIs" dxfId="642" priority="797" stopIfTrue="1" operator="equal">
      <formula>#REF!</formula>
    </cfRule>
  </conditionalFormatting>
  <conditionalFormatting sqref="P134">
    <cfRule type="cellIs" dxfId="641" priority="796" stopIfTrue="1" operator="equal">
      <formula>#REF!</formula>
    </cfRule>
  </conditionalFormatting>
  <conditionalFormatting sqref="P134">
    <cfRule type="cellIs" dxfId="640" priority="795" stopIfTrue="1" operator="equal">
      <formula>#REF!</formula>
    </cfRule>
  </conditionalFormatting>
  <conditionalFormatting sqref="P134">
    <cfRule type="cellIs" dxfId="639" priority="794" stopIfTrue="1" operator="equal">
      <formula>#REF!</formula>
    </cfRule>
  </conditionalFormatting>
  <conditionalFormatting sqref="P134">
    <cfRule type="cellIs" dxfId="638" priority="793" stopIfTrue="1" operator="equal">
      <formula>#REF!</formula>
    </cfRule>
  </conditionalFormatting>
  <conditionalFormatting sqref="P134">
    <cfRule type="cellIs" dxfId="637" priority="792" stopIfTrue="1" operator="equal">
      <formula>#REF!</formula>
    </cfRule>
  </conditionalFormatting>
  <conditionalFormatting sqref="P134">
    <cfRule type="cellIs" dxfId="636" priority="791" stopIfTrue="1" operator="equal">
      <formula>#REF!</formula>
    </cfRule>
  </conditionalFormatting>
  <conditionalFormatting sqref="P134">
    <cfRule type="cellIs" dxfId="635" priority="790" stopIfTrue="1" operator="equal">
      <formula>#REF!</formula>
    </cfRule>
  </conditionalFormatting>
  <conditionalFormatting sqref="P134">
    <cfRule type="cellIs" dxfId="634" priority="789" stopIfTrue="1" operator="equal">
      <formula>#REF!</formula>
    </cfRule>
  </conditionalFormatting>
  <conditionalFormatting sqref="P134">
    <cfRule type="cellIs" dxfId="633" priority="788" stopIfTrue="1" operator="equal">
      <formula>#REF!</formula>
    </cfRule>
  </conditionalFormatting>
  <conditionalFormatting sqref="O135:P135">
    <cfRule type="cellIs" dxfId="632" priority="787" stopIfTrue="1" operator="equal">
      <formula>#REF!</formula>
    </cfRule>
  </conditionalFormatting>
  <conditionalFormatting sqref="O135:P135">
    <cfRule type="cellIs" dxfId="631" priority="786" stopIfTrue="1" operator="equal">
      <formula>#REF!</formula>
    </cfRule>
  </conditionalFormatting>
  <conditionalFormatting sqref="O135:P135">
    <cfRule type="cellIs" dxfId="630" priority="785" stopIfTrue="1" operator="equal">
      <formula>#REF!</formula>
    </cfRule>
  </conditionalFormatting>
  <conditionalFormatting sqref="O135:P135">
    <cfRule type="cellIs" dxfId="629" priority="784" stopIfTrue="1" operator="equal">
      <formula>#REF!</formula>
    </cfRule>
  </conditionalFormatting>
  <conditionalFormatting sqref="O135:P135">
    <cfRule type="cellIs" dxfId="628" priority="783" stopIfTrue="1" operator="equal">
      <formula>#REF!</formula>
    </cfRule>
  </conditionalFormatting>
  <conditionalFormatting sqref="O135:P135">
    <cfRule type="cellIs" dxfId="627" priority="782" stopIfTrue="1" operator="equal">
      <formula>#REF!</formula>
    </cfRule>
  </conditionalFormatting>
  <conditionalFormatting sqref="O135:P135">
    <cfRule type="cellIs" dxfId="626" priority="781" stopIfTrue="1" operator="equal">
      <formula>#REF!</formula>
    </cfRule>
  </conditionalFormatting>
  <conditionalFormatting sqref="O135:P135">
    <cfRule type="cellIs" dxfId="625" priority="780" stopIfTrue="1" operator="equal">
      <formula>#REF!</formula>
    </cfRule>
  </conditionalFormatting>
  <conditionalFormatting sqref="O135:P135">
    <cfRule type="cellIs" dxfId="624" priority="779" stopIfTrue="1" operator="equal">
      <formula>#REF!</formula>
    </cfRule>
  </conditionalFormatting>
  <conditionalFormatting sqref="O135:P135">
    <cfRule type="cellIs" dxfId="623" priority="778" stopIfTrue="1" operator="equal">
      <formula>#REF!</formula>
    </cfRule>
  </conditionalFormatting>
  <conditionalFormatting sqref="O135:P135">
    <cfRule type="cellIs" dxfId="622" priority="777" stopIfTrue="1" operator="equal">
      <formula>#REF!</formula>
    </cfRule>
  </conditionalFormatting>
  <conditionalFormatting sqref="O135:P135">
    <cfRule type="cellIs" dxfId="621" priority="776" stopIfTrue="1" operator="equal">
      <formula>#REF!</formula>
    </cfRule>
  </conditionalFormatting>
  <conditionalFormatting sqref="O135:P135">
    <cfRule type="cellIs" dxfId="620" priority="775" stopIfTrue="1" operator="equal">
      <formula>#REF!</formula>
    </cfRule>
  </conditionalFormatting>
  <conditionalFormatting sqref="O135:P135">
    <cfRule type="cellIs" dxfId="619" priority="774" stopIfTrue="1" operator="equal">
      <formula>#REF!</formula>
    </cfRule>
  </conditionalFormatting>
  <conditionalFormatting sqref="O135:P135">
    <cfRule type="cellIs" dxfId="618" priority="773" stopIfTrue="1" operator="equal">
      <formula>#REF!</formula>
    </cfRule>
  </conditionalFormatting>
  <conditionalFormatting sqref="O135:P135">
    <cfRule type="cellIs" dxfId="617" priority="772" stopIfTrue="1" operator="equal">
      <formula>#REF!</formula>
    </cfRule>
  </conditionalFormatting>
  <conditionalFormatting sqref="O135:P135">
    <cfRule type="cellIs" dxfId="616" priority="771" stopIfTrue="1" operator="equal">
      <formula>#REF!</formula>
    </cfRule>
  </conditionalFormatting>
  <conditionalFormatting sqref="O135:P135">
    <cfRule type="cellIs" dxfId="615" priority="770" stopIfTrue="1" operator="equal">
      <formula>#REF!</formula>
    </cfRule>
  </conditionalFormatting>
  <conditionalFormatting sqref="O135:P135">
    <cfRule type="cellIs" dxfId="614" priority="769" stopIfTrue="1" operator="equal">
      <formula>#REF!</formula>
    </cfRule>
  </conditionalFormatting>
  <conditionalFormatting sqref="O135:P135">
    <cfRule type="cellIs" dxfId="613" priority="768" stopIfTrue="1" operator="equal">
      <formula>#REF!</formula>
    </cfRule>
  </conditionalFormatting>
  <conditionalFormatting sqref="O135:P135">
    <cfRule type="cellIs" dxfId="612" priority="767" stopIfTrue="1" operator="equal">
      <formula>#REF!</formula>
    </cfRule>
  </conditionalFormatting>
  <conditionalFormatting sqref="P135">
    <cfRule type="cellIs" dxfId="611" priority="766" stopIfTrue="1" operator="equal">
      <formula>#REF!</formula>
    </cfRule>
  </conditionalFormatting>
  <conditionalFormatting sqref="P135">
    <cfRule type="cellIs" dxfId="610" priority="765" stopIfTrue="1" operator="equal">
      <formula>#REF!</formula>
    </cfRule>
  </conditionalFormatting>
  <conditionalFormatting sqref="P135">
    <cfRule type="cellIs" dxfId="609" priority="764" stopIfTrue="1" operator="equal">
      <formula>#REF!</formula>
    </cfRule>
  </conditionalFormatting>
  <conditionalFormatting sqref="P135">
    <cfRule type="cellIs" dxfId="608" priority="763" stopIfTrue="1" operator="equal">
      <formula>#REF!</formula>
    </cfRule>
  </conditionalFormatting>
  <conditionalFormatting sqref="P135">
    <cfRule type="cellIs" dxfId="607" priority="762" stopIfTrue="1" operator="equal">
      <formula>#REF!</formula>
    </cfRule>
  </conditionalFormatting>
  <conditionalFormatting sqref="P135">
    <cfRule type="cellIs" dxfId="606" priority="761" stopIfTrue="1" operator="equal">
      <formula>#REF!</formula>
    </cfRule>
  </conditionalFormatting>
  <conditionalFormatting sqref="P135">
    <cfRule type="cellIs" dxfId="605" priority="760" stopIfTrue="1" operator="equal">
      <formula>#REF!</formula>
    </cfRule>
  </conditionalFormatting>
  <conditionalFormatting sqref="P135">
    <cfRule type="cellIs" dxfId="604" priority="759" stopIfTrue="1" operator="equal">
      <formula>#REF!</formula>
    </cfRule>
  </conditionalFormatting>
  <conditionalFormatting sqref="P135">
    <cfRule type="cellIs" dxfId="603" priority="758" stopIfTrue="1" operator="equal">
      <formula>#REF!</formula>
    </cfRule>
  </conditionalFormatting>
  <conditionalFormatting sqref="P135">
    <cfRule type="cellIs" dxfId="602" priority="757" stopIfTrue="1" operator="equal">
      <formula>#REF!</formula>
    </cfRule>
  </conditionalFormatting>
  <conditionalFormatting sqref="P135">
    <cfRule type="cellIs" dxfId="601" priority="756" stopIfTrue="1" operator="equal">
      <formula>#REF!</formula>
    </cfRule>
  </conditionalFormatting>
  <conditionalFormatting sqref="P135">
    <cfRule type="cellIs" dxfId="600" priority="755" stopIfTrue="1" operator="equal">
      <formula>#REF!</formula>
    </cfRule>
  </conditionalFormatting>
  <conditionalFormatting sqref="P135">
    <cfRule type="cellIs" dxfId="599" priority="754" stopIfTrue="1" operator="equal">
      <formula>#REF!</formula>
    </cfRule>
  </conditionalFormatting>
  <conditionalFormatting sqref="P135">
    <cfRule type="cellIs" dxfId="598" priority="753" stopIfTrue="1" operator="equal">
      <formula>#REF!</formula>
    </cfRule>
  </conditionalFormatting>
  <conditionalFormatting sqref="P135">
    <cfRule type="cellIs" dxfId="597" priority="752" stopIfTrue="1" operator="equal">
      <formula>#REF!</formula>
    </cfRule>
  </conditionalFormatting>
  <conditionalFormatting sqref="P135">
    <cfRule type="cellIs" dxfId="596" priority="751" stopIfTrue="1" operator="equal">
      <formula>#REF!</formula>
    </cfRule>
  </conditionalFormatting>
  <conditionalFormatting sqref="P135">
    <cfRule type="cellIs" dxfId="595" priority="750" stopIfTrue="1" operator="equal">
      <formula>#REF!</formula>
    </cfRule>
  </conditionalFormatting>
  <conditionalFormatting sqref="P135">
    <cfRule type="cellIs" dxfId="594" priority="749" stopIfTrue="1" operator="equal">
      <formula>#REF!</formula>
    </cfRule>
  </conditionalFormatting>
  <conditionalFormatting sqref="P135">
    <cfRule type="cellIs" dxfId="593" priority="748" stopIfTrue="1" operator="equal">
      <formula>#REF!</formula>
    </cfRule>
  </conditionalFormatting>
  <conditionalFormatting sqref="P135">
    <cfRule type="cellIs" dxfId="592" priority="747" stopIfTrue="1" operator="equal">
      <formula>#REF!</formula>
    </cfRule>
  </conditionalFormatting>
  <conditionalFormatting sqref="P135">
    <cfRule type="cellIs" dxfId="591" priority="746" stopIfTrue="1" operator="equal">
      <formula>#REF!</formula>
    </cfRule>
  </conditionalFormatting>
  <conditionalFormatting sqref="P135">
    <cfRule type="cellIs" dxfId="590" priority="745" stopIfTrue="1" operator="equal">
      <formula>#REF!</formula>
    </cfRule>
  </conditionalFormatting>
  <conditionalFormatting sqref="P135">
    <cfRule type="cellIs" dxfId="589" priority="744" stopIfTrue="1" operator="equal">
      <formula>#REF!</formula>
    </cfRule>
  </conditionalFormatting>
  <conditionalFormatting sqref="P135">
    <cfRule type="cellIs" dxfId="588" priority="743" stopIfTrue="1" operator="equal">
      <formula>#REF!</formula>
    </cfRule>
  </conditionalFormatting>
  <conditionalFormatting sqref="P135">
    <cfRule type="cellIs" dxfId="587" priority="742" stopIfTrue="1" operator="equal">
      <formula>#REF!</formula>
    </cfRule>
  </conditionalFormatting>
  <conditionalFormatting sqref="P135">
    <cfRule type="cellIs" dxfId="586" priority="741" stopIfTrue="1" operator="equal">
      <formula>#REF!</formula>
    </cfRule>
  </conditionalFormatting>
  <conditionalFormatting sqref="P135">
    <cfRule type="cellIs" dxfId="585" priority="740" stopIfTrue="1" operator="equal">
      <formula>#REF!</formula>
    </cfRule>
  </conditionalFormatting>
  <conditionalFormatting sqref="P135">
    <cfRule type="cellIs" dxfId="584" priority="739" stopIfTrue="1" operator="equal">
      <formula>#REF!</formula>
    </cfRule>
  </conditionalFormatting>
  <conditionalFormatting sqref="P135">
    <cfRule type="cellIs" dxfId="583" priority="738" stopIfTrue="1" operator="equal">
      <formula>#REF!</formula>
    </cfRule>
  </conditionalFormatting>
  <conditionalFormatting sqref="P135">
    <cfRule type="cellIs" dxfId="582" priority="737" stopIfTrue="1" operator="equal">
      <formula>#REF!</formula>
    </cfRule>
  </conditionalFormatting>
  <conditionalFormatting sqref="P135">
    <cfRule type="cellIs" dxfId="581" priority="736" stopIfTrue="1" operator="equal">
      <formula>#REF!</formula>
    </cfRule>
  </conditionalFormatting>
  <conditionalFormatting sqref="O135:P135">
    <cfRule type="cellIs" dxfId="580" priority="735" stopIfTrue="1" operator="equal">
      <formula>#REF!</formula>
    </cfRule>
  </conditionalFormatting>
  <conditionalFormatting sqref="O135:P135">
    <cfRule type="cellIs" dxfId="579" priority="734" stopIfTrue="1" operator="equal">
      <formula>#REF!</formula>
    </cfRule>
  </conditionalFormatting>
  <conditionalFormatting sqref="O135:P135">
    <cfRule type="cellIs" dxfId="578" priority="733" stopIfTrue="1" operator="equal">
      <formula>#REF!</formula>
    </cfRule>
  </conditionalFormatting>
  <conditionalFormatting sqref="O135:P135">
    <cfRule type="cellIs" dxfId="577" priority="732" stopIfTrue="1" operator="equal">
      <formula>#REF!</formula>
    </cfRule>
  </conditionalFormatting>
  <conditionalFormatting sqref="O135:P135">
    <cfRule type="cellIs" dxfId="576" priority="731" stopIfTrue="1" operator="equal">
      <formula>#REF!</formula>
    </cfRule>
  </conditionalFormatting>
  <conditionalFormatting sqref="O135:P135">
    <cfRule type="cellIs" dxfId="575" priority="730" stopIfTrue="1" operator="equal">
      <formula>#REF!</formula>
    </cfRule>
  </conditionalFormatting>
  <conditionalFormatting sqref="O135:P135">
    <cfRule type="cellIs" dxfId="574" priority="729" stopIfTrue="1" operator="equal">
      <formula>#REF!</formula>
    </cfRule>
  </conditionalFormatting>
  <conditionalFormatting sqref="O135:P135">
    <cfRule type="cellIs" dxfId="573" priority="728" stopIfTrue="1" operator="equal">
      <formula>#REF!</formula>
    </cfRule>
  </conditionalFormatting>
  <conditionalFormatting sqref="O135:P135">
    <cfRule type="cellIs" dxfId="572" priority="727" stopIfTrue="1" operator="equal">
      <formula>#REF!</formula>
    </cfRule>
  </conditionalFormatting>
  <conditionalFormatting sqref="O135:P135">
    <cfRule type="cellIs" dxfId="571" priority="726" stopIfTrue="1" operator="equal">
      <formula>#REF!</formula>
    </cfRule>
  </conditionalFormatting>
  <conditionalFormatting sqref="O135:P135">
    <cfRule type="cellIs" dxfId="570" priority="725" stopIfTrue="1" operator="equal">
      <formula>#REF!</formula>
    </cfRule>
  </conditionalFormatting>
  <conditionalFormatting sqref="O135:P135">
    <cfRule type="cellIs" dxfId="569" priority="724" stopIfTrue="1" operator="equal">
      <formula>#REF!</formula>
    </cfRule>
  </conditionalFormatting>
  <conditionalFormatting sqref="O135:P135">
    <cfRule type="cellIs" dxfId="568" priority="723" stopIfTrue="1" operator="equal">
      <formula>#REF!</formula>
    </cfRule>
  </conditionalFormatting>
  <conditionalFormatting sqref="O135:P135">
    <cfRule type="cellIs" dxfId="567" priority="722" stopIfTrue="1" operator="equal">
      <formula>#REF!</formula>
    </cfRule>
  </conditionalFormatting>
  <conditionalFormatting sqref="O135:P135">
    <cfRule type="cellIs" dxfId="566" priority="721" stopIfTrue="1" operator="equal">
      <formula>#REF!</formula>
    </cfRule>
  </conditionalFormatting>
  <conditionalFormatting sqref="O135:P135">
    <cfRule type="cellIs" dxfId="565" priority="720" stopIfTrue="1" operator="equal">
      <formula>#REF!</formula>
    </cfRule>
  </conditionalFormatting>
  <conditionalFormatting sqref="O135:P135">
    <cfRule type="cellIs" dxfId="564" priority="719" stopIfTrue="1" operator="equal">
      <formula>#REF!</formula>
    </cfRule>
  </conditionalFormatting>
  <conditionalFormatting sqref="O135:P135">
    <cfRule type="cellIs" dxfId="563" priority="718" stopIfTrue="1" operator="equal">
      <formula>#REF!</formula>
    </cfRule>
  </conditionalFormatting>
  <conditionalFormatting sqref="O135:P135">
    <cfRule type="cellIs" dxfId="562" priority="717" stopIfTrue="1" operator="equal">
      <formula>#REF!</formula>
    </cfRule>
  </conditionalFormatting>
  <conditionalFormatting sqref="O135:P135">
    <cfRule type="cellIs" dxfId="561" priority="716" stopIfTrue="1" operator="equal">
      <formula>#REF!</formula>
    </cfRule>
  </conditionalFormatting>
  <conditionalFormatting sqref="O135:P135">
    <cfRule type="cellIs" dxfId="560" priority="715" stopIfTrue="1" operator="equal">
      <formula>#REF!</formula>
    </cfRule>
  </conditionalFormatting>
  <conditionalFormatting sqref="P135">
    <cfRule type="cellIs" dxfId="559" priority="714" stopIfTrue="1" operator="equal">
      <formula>#REF!</formula>
    </cfRule>
  </conditionalFormatting>
  <conditionalFormatting sqref="P135">
    <cfRule type="cellIs" dxfId="558" priority="713" stopIfTrue="1" operator="equal">
      <formula>#REF!</formula>
    </cfRule>
  </conditionalFormatting>
  <conditionalFormatting sqref="P135">
    <cfRule type="cellIs" dxfId="557" priority="712" stopIfTrue="1" operator="equal">
      <formula>#REF!</formula>
    </cfRule>
  </conditionalFormatting>
  <conditionalFormatting sqref="P135">
    <cfRule type="cellIs" dxfId="556" priority="711" stopIfTrue="1" operator="equal">
      <formula>#REF!</formula>
    </cfRule>
  </conditionalFormatting>
  <conditionalFormatting sqref="P135">
    <cfRule type="cellIs" dxfId="555" priority="710" stopIfTrue="1" operator="equal">
      <formula>#REF!</formula>
    </cfRule>
  </conditionalFormatting>
  <conditionalFormatting sqref="P135">
    <cfRule type="cellIs" dxfId="554" priority="709" stopIfTrue="1" operator="equal">
      <formula>#REF!</formula>
    </cfRule>
  </conditionalFormatting>
  <conditionalFormatting sqref="P135">
    <cfRule type="cellIs" dxfId="553" priority="708" stopIfTrue="1" operator="equal">
      <formula>#REF!</formula>
    </cfRule>
  </conditionalFormatting>
  <conditionalFormatting sqref="P135">
    <cfRule type="cellIs" dxfId="552" priority="707" stopIfTrue="1" operator="equal">
      <formula>#REF!</formula>
    </cfRule>
  </conditionalFormatting>
  <conditionalFormatting sqref="P135">
    <cfRule type="cellIs" dxfId="551" priority="706" stopIfTrue="1" operator="equal">
      <formula>#REF!</formula>
    </cfRule>
  </conditionalFormatting>
  <conditionalFormatting sqref="P135">
    <cfRule type="cellIs" dxfId="550" priority="705" stopIfTrue="1" operator="equal">
      <formula>#REF!</formula>
    </cfRule>
  </conditionalFormatting>
  <conditionalFormatting sqref="P135">
    <cfRule type="cellIs" dxfId="549" priority="704" stopIfTrue="1" operator="equal">
      <formula>#REF!</formula>
    </cfRule>
  </conditionalFormatting>
  <conditionalFormatting sqref="P135">
    <cfRule type="cellIs" dxfId="548" priority="703" stopIfTrue="1" operator="equal">
      <formula>#REF!</formula>
    </cfRule>
  </conditionalFormatting>
  <conditionalFormatting sqref="P135">
    <cfRule type="cellIs" dxfId="547" priority="702" stopIfTrue="1" operator="equal">
      <formula>#REF!</formula>
    </cfRule>
  </conditionalFormatting>
  <conditionalFormatting sqref="P135">
    <cfRule type="cellIs" dxfId="546" priority="701" stopIfTrue="1" operator="equal">
      <formula>#REF!</formula>
    </cfRule>
  </conditionalFormatting>
  <conditionalFormatting sqref="P135">
    <cfRule type="cellIs" dxfId="545" priority="700" stopIfTrue="1" operator="equal">
      <formula>#REF!</formula>
    </cfRule>
  </conditionalFormatting>
  <conditionalFormatting sqref="P135">
    <cfRule type="cellIs" dxfId="544" priority="699" stopIfTrue="1" operator="equal">
      <formula>#REF!</formula>
    </cfRule>
  </conditionalFormatting>
  <conditionalFormatting sqref="P135">
    <cfRule type="cellIs" dxfId="543" priority="698" stopIfTrue="1" operator="equal">
      <formula>#REF!</formula>
    </cfRule>
  </conditionalFormatting>
  <conditionalFormatting sqref="P135">
    <cfRule type="cellIs" dxfId="542" priority="697" stopIfTrue="1" operator="equal">
      <formula>#REF!</formula>
    </cfRule>
  </conditionalFormatting>
  <conditionalFormatting sqref="P135">
    <cfRule type="cellIs" dxfId="541" priority="696" stopIfTrue="1" operator="equal">
      <formula>#REF!</formula>
    </cfRule>
  </conditionalFormatting>
  <conditionalFormatting sqref="P135">
    <cfRule type="cellIs" dxfId="540" priority="695" stopIfTrue="1" operator="equal">
      <formula>#REF!</formula>
    </cfRule>
  </conditionalFormatting>
  <conditionalFormatting sqref="P135">
    <cfRule type="cellIs" dxfId="539" priority="694" stopIfTrue="1" operator="equal">
      <formula>#REF!</formula>
    </cfRule>
  </conditionalFormatting>
  <conditionalFormatting sqref="P135">
    <cfRule type="cellIs" dxfId="538" priority="693" stopIfTrue="1" operator="equal">
      <formula>#REF!</formula>
    </cfRule>
  </conditionalFormatting>
  <conditionalFormatting sqref="P135">
    <cfRule type="cellIs" dxfId="537" priority="692" stopIfTrue="1" operator="equal">
      <formula>#REF!</formula>
    </cfRule>
  </conditionalFormatting>
  <conditionalFormatting sqref="P135">
    <cfRule type="cellIs" dxfId="536" priority="691" stopIfTrue="1" operator="equal">
      <formula>#REF!</formula>
    </cfRule>
  </conditionalFormatting>
  <conditionalFormatting sqref="P135">
    <cfRule type="cellIs" dxfId="535" priority="690" stopIfTrue="1" operator="equal">
      <formula>#REF!</formula>
    </cfRule>
  </conditionalFormatting>
  <conditionalFormatting sqref="P135">
    <cfRule type="cellIs" dxfId="534" priority="689" stopIfTrue="1" operator="equal">
      <formula>#REF!</formula>
    </cfRule>
  </conditionalFormatting>
  <conditionalFormatting sqref="P135">
    <cfRule type="cellIs" dxfId="533" priority="688" stopIfTrue="1" operator="equal">
      <formula>#REF!</formula>
    </cfRule>
  </conditionalFormatting>
  <conditionalFormatting sqref="P135">
    <cfRule type="cellIs" dxfId="532" priority="687" stopIfTrue="1" operator="equal">
      <formula>#REF!</formula>
    </cfRule>
  </conditionalFormatting>
  <conditionalFormatting sqref="P135">
    <cfRule type="cellIs" dxfId="531" priority="686" stopIfTrue="1" operator="equal">
      <formula>#REF!</formula>
    </cfRule>
  </conditionalFormatting>
  <conditionalFormatting sqref="P135">
    <cfRule type="cellIs" dxfId="530" priority="685" stopIfTrue="1" operator="equal">
      <formula>#REF!</formula>
    </cfRule>
  </conditionalFormatting>
  <conditionalFormatting sqref="P135">
    <cfRule type="cellIs" dxfId="529" priority="684" stopIfTrue="1" operator="equal">
      <formula>#REF!</formula>
    </cfRule>
  </conditionalFormatting>
  <conditionalFormatting sqref="P68:P70">
    <cfRule type="cellIs" dxfId="528" priority="579" stopIfTrue="1" operator="equal">
      <formula>#REF!</formula>
    </cfRule>
  </conditionalFormatting>
  <conditionalFormatting sqref="P36">
    <cfRule type="cellIs" dxfId="527" priority="578" stopIfTrue="1" operator="equal">
      <formula>#REF!</formula>
    </cfRule>
  </conditionalFormatting>
  <conditionalFormatting sqref="P36">
    <cfRule type="cellIs" dxfId="526" priority="577" stopIfTrue="1" operator="equal">
      <formula>#REF!</formula>
    </cfRule>
  </conditionalFormatting>
  <conditionalFormatting sqref="P36">
    <cfRule type="cellIs" dxfId="525" priority="576" stopIfTrue="1" operator="equal">
      <formula>#REF!</formula>
    </cfRule>
  </conditionalFormatting>
  <conditionalFormatting sqref="P36">
    <cfRule type="cellIs" dxfId="524" priority="575" stopIfTrue="1" operator="equal">
      <formula>#REF!</formula>
    </cfRule>
  </conditionalFormatting>
  <conditionalFormatting sqref="P36">
    <cfRule type="cellIs" dxfId="523" priority="574" stopIfTrue="1" operator="equal">
      <formula>#REF!</formula>
    </cfRule>
  </conditionalFormatting>
  <conditionalFormatting sqref="P36">
    <cfRule type="cellIs" dxfId="522" priority="573" stopIfTrue="1" operator="equal">
      <formula>#REF!</formula>
    </cfRule>
  </conditionalFormatting>
  <conditionalFormatting sqref="P36">
    <cfRule type="cellIs" dxfId="521" priority="572" stopIfTrue="1" operator="equal">
      <formula>#REF!</formula>
    </cfRule>
  </conditionalFormatting>
  <conditionalFormatting sqref="O37">
    <cfRule type="cellIs" dxfId="520" priority="571" stopIfTrue="1" operator="equal">
      <formula>#REF!</formula>
    </cfRule>
  </conditionalFormatting>
  <conditionalFormatting sqref="O37">
    <cfRule type="cellIs" dxfId="519" priority="570" stopIfTrue="1" operator="equal">
      <formula>#REF!</formula>
    </cfRule>
  </conditionalFormatting>
  <conditionalFormatting sqref="O37">
    <cfRule type="cellIs" dxfId="518" priority="568" stopIfTrue="1" operator="equal">
      <formula>#REF!</formula>
    </cfRule>
  </conditionalFormatting>
  <conditionalFormatting sqref="O37">
    <cfRule type="cellIs" dxfId="517" priority="567" stopIfTrue="1" operator="equal">
      <formula>#REF!</formula>
    </cfRule>
  </conditionalFormatting>
  <conditionalFormatting sqref="O37">
    <cfRule type="cellIs" dxfId="516" priority="566" stopIfTrue="1" operator="equal">
      <formula>#REF!</formula>
    </cfRule>
  </conditionalFormatting>
  <conditionalFormatting sqref="O37">
    <cfRule type="cellIs" dxfId="515" priority="563" stopIfTrue="1" operator="equal">
      <formula>#REF!</formula>
    </cfRule>
  </conditionalFormatting>
  <conditionalFormatting sqref="P37">
    <cfRule type="cellIs" dxfId="514" priority="551" stopIfTrue="1" operator="equal">
      <formula>#REF!</formula>
    </cfRule>
  </conditionalFormatting>
  <conditionalFormatting sqref="P37">
    <cfRule type="cellIs" dxfId="513" priority="547" stopIfTrue="1" operator="equal">
      <formula>#REF!</formula>
    </cfRule>
  </conditionalFormatting>
  <conditionalFormatting sqref="P37">
    <cfRule type="cellIs" dxfId="512" priority="546" stopIfTrue="1" operator="equal">
      <formula>#REF!</formula>
    </cfRule>
  </conditionalFormatting>
  <conditionalFormatting sqref="P37">
    <cfRule type="cellIs" dxfId="511" priority="553" stopIfTrue="1" operator="equal">
      <formula>#REF!</formula>
    </cfRule>
  </conditionalFormatting>
  <conditionalFormatting sqref="P37">
    <cfRule type="cellIs" dxfId="510" priority="552" stopIfTrue="1" operator="equal">
      <formula>#REF!</formula>
    </cfRule>
  </conditionalFormatting>
  <conditionalFormatting sqref="P38">
    <cfRule type="cellIs" dxfId="509" priority="543" stopIfTrue="1" operator="equal">
      <formula>#REF!</formula>
    </cfRule>
  </conditionalFormatting>
  <conditionalFormatting sqref="P37">
    <cfRule type="cellIs" dxfId="508" priority="550" stopIfTrue="1" operator="equal">
      <formula>#REF!</formula>
    </cfRule>
  </conditionalFormatting>
  <conditionalFormatting sqref="P37">
    <cfRule type="cellIs" dxfId="507" priority="549" stopIfTrue="1" operator="equal">
      <formula>#REF!</formula>
    </cfRule>
  </conditionalFormatting>
  <conditionalFormatting sqref="P37">
    <cfRule type="cellIs" dxfId="506" priority="548" stopIfTrue="1" operator="equal">
      <formula>#REF!</formula>
    </cfRule>
  </conditionalFormatting>
  <conditionalFormatting sqref="P38">
    <cfRule type="cellIs" dxfId="505" priority="539" stopIfTrue="1" operator="equal">
      <formula>#REF!</formula>
    </cfRule>
  </conditionalFormatting>
  <conditionalFormatting sqref="P38">
    <cfRule type="cellIs" dxfId="504" priority="538" stopIfTrue="1" operator="equal">
      <formula>#REF!</formula>
    </cfRule>
  </conditionalFormatting>
  <conditionalFormatting sqref="P37">
    <cfRule type="cellIs" dxfId="503" priority="545" stopIfTrue="1" operator="equal">
      <formula>#REF!</formula>
    </cfRule>
  </conditionalFormatting>
  <conditionalFormatting sqref="P38">
    <cfRule type="cellIs" dxfId="502" priority="544" stopIfTrue="1" operator="equal">
      <formula>#REF!</formula>
    </cfRule>
  </conditionalFormatting>
  <conditionalFormatting sqref="P38">
    <cfRule type="cellIs" dxfId="501" priority="542" stopIfTrue="1" operator="equal">
      <formula>#REF!</formula>
    </cfRule>
  </conditionalFormatting>
  <conditionalFormatting sqref="P38">
    <cfRule type="cellIs" dxfId="500" priority="541" stopIfTrue="1" operator="equal">
      <formula>#REF!</formula>
    </cfRule>
  </conditionalFormatting>
  <conditionalFormatting sqref="P38">
    <cfRule type="cellIs" dxfId="499" priority="540" stopIfTrue="1" operator="equal">
      <formula>#REF!</formula>
    </cfRule>
  </conditionalFormatting>
  <conditionalFormatting sqref="P38">
    <cfRule type="cellIs" dxfId="498" priority="537" stopIfTrue="1" operator="equal">
      <formula>#REF!</formula>
    </cfRule>
  </conditionalFormatting>
  <conditionalFormatting sqref="P38">
    <cfRule type="cellIs" dxfId="497" priority="536" stopIfTrue="1" operator="equal">
      <formula>#REF!</formula>
    </cfRule>
  </conditionalFormatting>
  <conditionalFormatting sqref="P39">
    <cfRule type="cellIs" dxfId="496" priority="535" stopIfTrue="1" operator="equal">
      <formula>#REF!</formula>
    </cfRule>
  </conditionalFormatting>
  <conditionalFormatting sqref="P39">
    <cfRule type="cellIs" dxfId="495" priority="534" stopIfTrue="1" operator="equal">
      <formula>#REF!</formula>
    </cfRule>
  </conditionalFormatting>
  <conditionalFormatting sqref="P39">
    <cfRule type="cellIs" dxfId="494" priority="533" stopIfTrue="1" operator="equal">
      <formula>#REF!</formula>
    </cfRule>
  </conditionalFormatting>
  <conditionalFormatting sqref="P39">
    <cfRule type="cellIs" dxfId="493" priority="532" stopIfTrue="1" operator="equal">
      <formula>#REF!</formula>
    </cfRule>
  </conditionalFormatting>
  <conditionalFormatting sqref="P39">
    <cfRule type="cellIs" dxfId="492" priority="531" stopIfTrue="1" operator="equal">
      <formula>#REF!</formula>
    </cfRule>
  </conditionalFormatting>
  <conditionalFormatting sqref="P39">
    <cfRule type="cellIs" dxfId="491" priority="530" stopIfTrue="1" operator="equal">
      <formula>#REF!</formula>
    </cfRule>
  </conditionalFormatting>
  <conditionalFormatting sqref="P39">
    <cfRule type="cellIs" dxfId="490" priority="529" stopIfTrue="1" operator="equal">
      <formula>#REF!</formula>
    </cfRule>
  </conditionalFormatting>
  <conditionalFormatting sqref="P39">
    <cfRule type="cellIs" dxfId="489" priority="528" stopIfTrue="1" operator="equal">
      <formula>#REF!</formula>
    </cfRule>
  </conditionalFormatting>
  <conditionalFormatting sqref="P39">
    <cfRule type="cellIs" dxfId="488" priority="527" stopIfTrue="1" operator="equal">
      <formula>#REF!</formula>
    </cfRule>
  </conditionalFormatting>
  <conditionalFormatting sqref="P40">
    <cfRule type="cellIs" dxfId="487" priority="526" stopIfTrue="1" operator="equal">
      <formula>#REF!</formula>
    </cfRule>
  </conditionalFormatting>
  <conditionalFormatting sqref="P40">
    <cfRule type="cellIs" dxfId="486" priority="525" stopIfTrue="1" operator="equal">
      <formula>#REF!</formula>
    </cfRule>
  </conditionalFormatting>
  <conditionalFormatting sqref="P40">
    <cfRule type="cellIs" dxfId="485" priority="524" stopIfTrue="1" operator="equal">
      <formula>#REF!</formula>
    </cfRule>
  </conditionalFormatting>
  <conditionalFormatting sqref="P40">
    <cfRule type="cellIs" dxfId="484" priority="523" stopIfTrue="1" operator="equal">
      <formula>#REF!</formula>
    </cfRule>
  </conditionalFormatting>
  <conditionalFormatting sqref="P40">
    <cfRule type="cellIs" dxfId="483" priority="522" stopIfTrue="1" operator="equal">
      <formula>#REF!</formula>
    </cfRule>
  </conditionalFormatting>
  <conditionalFormatting sqref="P40">
    <cfRule type="cellIs" dxfId="482" priority="521" stopIfTrue="1" operator="equal">
      <formula>#REF!</formula>
    </cfRule>
  </conditionalFormatting>
  <conditionalFormatting sqref="P40">
    <cfRule type="cellIs" dxfId="481" priority="520" stopIfTrue="1" operator="equal">
      <formula>#REF!</formula>
    </cfRule>
  </conditionalFormatting>
  <conditionalFormatting sqref="P40">
    <cfRule type="cellIs" dxfId="480" priority="519" stopIfTrue="1" operator="equal">
      <formula>#REF!</formula>
    </cfRule>
  </conditionalFormatting>
  <conditionalFormatting sqref="P40">
    <cfRule type="cellIs" dxfId="479" priority="518" stopIfTrue="1" operator="equal">
      <formula>#REF!</formula>
    </cfRule>
  </conditionalFormatting>
  <conditionalFormatting sqref="P51:P53">
    <cfRule type="cellIs" dxfId="478" priority="474" stopIfTrue="1" operator="equal">
      <formula>#REF!</formula>
    </cfRule>
  </conditionalFormatting>
  <conditionalFormatting sqref="O50:P53">
    <cfRule type="cellIs" dxfId="477" priority="481" stopIfTrue="1" operator="equal">
      <formula>#REF!</formula>
    </cfRule>
  </conditionalFormatting>
  <conditionalFormatting sqref="O50:P50">
    <cfRule type="cellIs" dxfId="476" priority="480" stopIfTrue="1" operator="equal">
      <formula>#REF!</formula>
    </cfRule>
  </conditionalFormatting>
  <conditionalFormatting sqref="P51:P53">
    <cfRule type="cellIs" dxfId="475" priority="479" stopIfTrue="1" operator="equal">
      <formula>#REF!</formula>
    </cfRule>
  </conditionalFormatting>
  <conditionalFormatting sqref="O51:O53">
    <cfRule type="cellIs" dxfId="474" priority="478" stopIfTrue="1" operator="equal">
      <formula>#REF!</formula>
    </cfRule>
  </conditionalFormatting>
  <conditionalFormatting sqref="P51:P53">
    <cfRule type="cellIs" dxfId="473" priority="477" stopIfTrue="1" operator="equal">
      <formula>#REF!</formula>
    </cfRule>
  </conditionalFormatting>
  <conditionalFormatting sqref="P50">
    <cfRule type="cellIs" dxfId="472" priority="475" stopIfTrue="1" operator="equal">
      <formula>#REF!</formula>
    </cfRule>
  </conditionalFormatting>
  <conditionalFormatting sqref="P62">
    <cfRule type="cellIs" dxfId="471" priority="459" stopIfTrue="1" operator="equal">
      <formula>#REF!</formula>
    </cfRule>
  </conditionalFormatting>
  <conditionalFormatting sqref="P63">
    <cfRule type="cellIs" dxfId="470" priority="458" stopIfTrue="1" operator="equal">
      <formula>#REF!</formula>
    </cfRule>
  </conditionalFormatting>
  <conditionalFormatting sqref="O132:P132">
    <cfRule type="cellIs" dxfId="469" priority="450" stopIfTrue="1" operator="equal">
      <formula>#REF!</formula>
    </cfRule>
  </conditionalFormatting>
  <conditionalFormatting sqref="O133:P133">
    <cfRule type="cellIs" dxfId="468" priority="449" stopIfTrue="1" operator="equal">
      <formula>#REF!</formula>
    </cfRule>
  </conditionalFormatting>
  <conditionalFormatting sqref="P133">
    <cfRule type="cellIs" dxfId="467" priority="448" stopIfTrue="1" operator="equal">
      <formula>#REF!</formula>
    </cfRule>
  </conditionalFormatting>
  <conditionalFormatting sqref="P133">
    <cfRule type="cellIs" dxfId="466" priority="447" stopIfTrue="1" operator="equal">
      <formula>#REF!</formula>
    </cfRule>
  </conditionalFormatting>
  <conditionalFormatting sqref="O132:P132">
    <cfRule type="cellIs" dxfId="465" priority="446" stopIfTrue="1" operator="equal">
      <formula>#REF!</formula>
    </cfRule>
  </conditionalFormatting>
  <conditionalFormatting sqref="O132:P132">
    <cfRule type="cellIs" dxfId="464" priority="445" stopIfTrue="1" operator="equal">
      <formula>#REF!</formula>
    </cfRule>
  </conditionalFormatting>
  <conditionalFormatting sqref="O132:P132">
    <cfRule type="cellIs" dxfId="463" priority="444" stopIfTrue="1" operator="equal">
      <formula>#REF!</formula>
    </cfRule>
  </conditionalFormatting>
  <conditionalFormatting sqref="O132:P132">
    <cfRule type="cellIs" dxfId="462" priority="443" stopIfTrue="1" operator="equal">
      <formula>#REF!</formula>
    </cfRule>
  </conditionalFormatting>
  <conditionalFormatting sqref="O132:P132">
    <cfRule type="cellIs" dxfId="461" priority="442" stopIfTrue="1" operator="equal">
      <formula>#REF!</formula>
    </cfRule>
  </conditionalFormatting>
  <conditionalFormatting sqref="O132:P132">
    <cfRule type="cellIs" dxfId="460" priority="441" stopIfTrue="1" operator="equal">
      <formula>#REF!</formula>
    </cfRule>
  </conditionalFormatting>
  <conditionalFormatting sqref="O132:P132">
    <cfRule type="cellIs" dxfId="459" priority="440" stopIfTrue="1" operator="equal">
      <formula>#REF!</formula>
    </cfRule>
  </conditionalFormatting>
  <conditionalFormatting sqref="O132:P132">
    <cfRule type="cellIs" dxfId="458" priority="439" stopIfTrue="1" operator="equal">
      <formula>#REF!</formula>
    </cfRule>
  </conditionalFormatting>
  <conditionalFormatting sqref="O132:P132">
    <cfRule type="cellIs" dxfId="457" priority="438" stopIfTrue="1" operator="equal">
      <formula>#REF!</formula>
    </cfRule>
  </conditionalFormatting>
  <conditionalFormatting sqref="O132:P132">
    <cfRule type="cellIs" dxfId="456" priority="437" stopIfTrue="1" operator="equal">
      <formula>#REF!</formula>
    </cfRule>
  </conditionalFormatting>
  <conditionalFormatting sqref="O132:P132">
    <cfRule type="cellIs" dxfId="455" priority="436" stopIfTrue="1" operator="equal">
      <formula>#REF!</formula>
    </cfRule>
  </conditionalFormatting>
  <conditionalFormatting sqref="O132:P132">
    <cfRule type="cellIs" dxfId="454" priority="435" stopIfTrue="1" operator="equal">
      <formula>#REF!</formula>
    </cfRule>
  </conditionalFormatting>
  <conditionalFormatting sqref="O132:P132">
    <cfRule type="cellIs" dxfId="453" priority="434" stopIfTrue="1" operator="equal">
      <formula>#REF!</formula>
    </cfRule>
  </conditionalFormatting>
  <conditionalFormatting sqref="O132:P132">
    <cfRule type="cellIs" dxfId="452" priority="433" stopIfTrue="1" operator="equal">
      <formula>#REF!</formula>
    </cfRule>
  </conditionalFormatting>
  <conditionalFormatting sqref="O132:P132">
    <cfRule type="cellIs" dxfId="451" priority="432" stopIfTrue="1" operator="equal">
      <formula>#REF!</formula>
    </cfRule>
  </conditionalFormatting>
  <conditionalFormatting sqref="O132:P132">
    <cfRule type="cellIs" dxfId="450" priority="431" stopIfTrue="1" operator="equal">
      <formula>#REF!</formula>
    </cfRule>
  </conditionalFormatting>
  <conditionalFormatting sqref="O132:P132">
    <cfRule type="cellIs" dxfId="449" priority="430" stopIfTrue="1" operator="equal">
      <formula>#REF!</formula>
    </cfRule>
  </conditionalFormatting>
  <conditionalFormatting sqref="O132:P132">
    <cfRule type="cellIs" dxfId="448" priority="429" stopIfTrue="1" operator="equal">
      <formula>#REF!</formula>
    </cfRule>
  </conditionalFormatting>
  <conditionalFormatting sqref="O132:P132">
    <cfRule type="cellIs" dxfId="447" priority="428" stopIfTrue="1" operator="equal">
      <formula>#REF!</formula>
    </cfRule>
  </conditionalFormatting>
  <conditionalFormatting sqref="O132:P132">
    <cfRule type="cellIs" dxfId="446" priority="427" stopIfTrue="1" operator="equal">
      <formula>#REF!</formula>
    </cfRule>
  </conditionalFormatting>
  <conditionalFormatting sqref="O132:P132">
    <cfRule type="cellIs" dxfId="445" priority="426" stopIfTrue="1" operator="equal">
      <formula>#REF!</formula>
    </cfRule>
  </conditionalFormatting>
  <conditionalFormatting sqref="P132">
    <cfRule type="cellIs" dxfId="444" priority="425" stopIfTrue="1" operator="equal">
      <formula>#REF!</formula>
    </cfRule>
  </conditionalFormatting>
  <conditionalFormatting sqref="P132">
    <cfRule type="cellIs" dxfId="443" priority="424" stopIfTrue="1" operator="equal">
      <formula>#REF!</formula>
    </cfRule>
  </conditionalFormatting>
  <conditionalFormatting sqref="P132">
    <cfRule type="cellIs" dxfId="442" priority="423" stopIfTrue="1" operator="equal">
      <formula>#REF!</formula>
    </cfRule>
  </conditionalFormatting>
  <conditionalFormatting sqref="P132">
    <cfRule type="cellIs" dxfId="441" priority="422" stopIfTrue="1" operator="equal">
      <formula>#REF!</formula>
    </cfRule>
  </conditionalFormatting>
  <conditionalFormatting sqref="P132">
    <cfRule type="cellIs" dxfId="440" priority="421" stopIfTrue="1" operator="equal">
      <formula>#REF!</formula>
    </cfRule>
  </conditionalFormatting>
  <conditionalFormatting sqref="P132">
    <cfRule type="cellIs" dxfId="439" priority="420" stopIfTrue="1" operator="equal">
      <formula>#REF!</formula>
    </cfRule>
  </conditionalFormatting>
  <conditionalFormatting sqref="P132">
    <cfRule type="cellIs" dxfId="438" priority="419" stopIfTrue="1" operator="equal">
      <formula>#REF!</formula>
    </cfRule>
  </conditionalFormatting>
  <conditionalFormatting sqref="P132">
    <cfRule type="cellIs" dxfId="437" priority="418" stopIfTrue="1" operator="equal">
      <formula>#REF!</formula>
    </cfRule>
  </conditionalFormatting>
  <conditionalFormatting sqref="P132">
    <cfRule type="cellIs" dxfId="436" priority="417" stopIfTrue="1" operator="equal">
      <formula>#REF!</formula>
    </cfRule>
  </conditionalFormatting>
  <conditionalFormatting sqref="P132">
    <cfRule type="cellIs" dxfId="435" priority="416" stopIfTrue="1" operator="equal">
      <formula>#REF!</formula>
    </cfRule>
  </conditionalFormatting>
  <conditionalFormatting sqref="P132">
    <cfRule type="cellIs" dxfId="434" priority="415" stopIfTrue="1" operator="equal">
      <formula>#REF!</formula>
    </cfRule>
  </conditionalFormatting>
  <conditionalFormatting sqref="P132">
    <cfRule type="cellIs" dxfId="433" priority="414" stopIfTrue="1" operator="equal">
      <formula>#REF!</formula>
    </cfRule>
  </conditionalFormatting>
  <conditionalFormatting sqref="P132">
    <cfRule type="cellIs" dxfId="432" priority="413" stopIfTrue="1" operator="equal">
      <formula>#REF!</formula>
    </cfRule>
  </conditionalFormatting>
  <conditionalFormatting sqref="P132">
    <cfRule type="cellIs" dxfId="431" priority="412" stopIfTrue="1" operator="equal">
      <formula>#REF!</formula>
    </cfRule>
  </conditionalFormatting>
  <conditionalFormatting sqref="P132">
    <cfRule type="cellIs" dxfId="430" priority="411" stopIfTrue="1" operator="equal">
      <formula>#REF!</formula>
    </cfRule>
  </conditionalFormatting>
  <conditionalFormatting sqref="P132">
    <cfRule type="cellIs" dxfId="429" priority="410" stopIfTrue="1" operator="equal">
      <formula>#REF!</formula>
    </cfRule>
  </conditionalFormatting>
  <conditionalFormatting sqref="P132">
    <cfRule type="cellIs" dxfId="428" priority="409" stopIfTrue="1" operator="equal">
      <formula>#REF!</formula>
    </cfRule>
  </conditionalFormatting>
  <conditionalFormatting sqref="P132">
    <cfRule type="cellIs" dxfId="427" priority="408" stopIfTrue="1" operator="equal">
      <formula>#REF!</formula>
    </cfRule>
  </conditionalFormatting>
  <conditionalFormatting sqref="P132">
    <cfRule type="cellIs" dxfId="426" priority="407" stopIfTrue="1" operator="equal">
      <formula>#REF!</formula>
    </cfRule>
  </conditionalFormatting>
  <conditionalFormatting sqref="P132">
    <cfRule type="cellIs" dxfId="425" priority="406" stopIfTrue="1" operator="equal">
      <formula>#REF!</formula>
    </cfRule>
  </conditionalFormatting>
  <conditionalFormatting sqref="P132">
    <cfRule type="cellIs" dxfId="424" priority="405" stopIfTrue="1" operator="equal">
      <formula>#REF!</formula>
    </cfRule>
  </conditionalFormatting>
  <conditionalFormatting sqref="P132">
    <cfRule type="cellIs" dxfId="423" priority="404" stopIfTrue="1" operator="equal">
      <formula>#REF!</formula>
    </cfRule>
  </conditionalFormatting>
  <conditionalFormatting sqref="P132">
    <cfRule type="cellIs" dxfId="422" priority="403" stopIfTrue="1" operator="equal">
      <formula>#REF!</formula>
    </cfRule>
  </conditionalFormatting>
  <conditionalFormatting sqref="P132">
    <cfRule type="cellIs" dxfId="421" priority="402" stopIfTrue="1" operator="equal">
      <formula>#REF!</formula>
    </cfRule>
  </conditionalFormatting>
  <conditionalFormatting sqref="P132">
    <cfRule type="cellIs" dxfId="420" priority="401" stopIfTrue="1" operator="equal">
      <formula>#REF!</formula>
    </cfRule>
  </conditionalFormatting>
  <conditionalFormatting sqref="P132">
    <cfRule type="cellIs" dxfId="419" priority="400" stopIfTrue="1" operator="equal">
      <formula>#REF!</formula>
    </cfRule>
  </conditionalFormatting>
  <conditionalFormatting sqref="P132">
    <cfRule type="cellIs" dxfId="418" priority="399" stopIfTrue="1" operator="equal">
      <formula>#REF!</formula>
    </cfRule>
  </conditionalFormatting>
  <conditionalFormatting sqref="P132">
    <cfRule type="cellIs" dxfId="417" priority="398" stopIfTrue="1" operator="equal">
      <formula>#REF!</formula>
    </cfRule>
  </conditionalFormatting>
  <conditionalFormatting sqref="P132">
    <cfRule type="cellIs" dxfId="416" priority="397" stopIfTrue="1" operator="equal">
      <formula>#REF!</formula>
    </cfRule>
  </conditionalFormatting>
  <conditionalFormatting sqref="P132">
    <cfRule type="cellIs" dxfId="415" priority="396" stopIfTrue="1" operator="equal">
      <formula>#REF!</formula>
    </cfRule>
  </conditionalFormatting>
  <conditionalFormatting sqref="P132">
    <cfRule type="cellIs" dxfId="414" priority="395" stopIfTrue="1" operator="equal">
      <formula>#REF!</formula>
    </cfRule>
  </conditionalFormatting>
  <conditionalFormatting sqref="O132:P132">
    <cfRule type="cellIs" dxfId="413" priority="394" stopIfTrue="1" operator="equal">
      <formula>#REF!</formula>
    </cfRule>
  </conditionalFormatting>
  <conditionalFormatting sqref="O132:P132">
    <cfRule type="cellIs" dxfId="412" priority="393" stopIfTrue="1" operator="equal">
      <formula>#REF!</formula>
    </cfRule>
  </conditionalFormatting>
  <conditionalFormatting sqref="O132:P132">
    <cfRule type="cellIs" dxfId="411" priority="392" stopIfTrue="1" operator="equal">
      <formula>#REF!</formula>
    </cfRule>
  </conditionalFormatting>
  <conditionalFormatting sqref="O132:P132">
    <cfRule type="cellIs" dxfId="410" priority="391" stopIfTrue="1" operator="equal">
      <formula>#REF!</formula>
    </cfRule>
  </conditionalFormatting>
  <conditionalFormatting sqref="O132:P132">
    <cfRule type="cellIs" dxfId="409" priority="390" stopIfTrue="1" operator="equal">
      <formula>#REF!</formula>
    </cfRule>
  </conditionalFormatting>
  <conditionalFormatting sqref="O132:P132">
    <cfRule type="cellIs" dxfId="408" priority="389" stopIfTrue="1" operator="equal">
      <formula>#REF!</formula>
    </cfRule>
  </conditionalFormatting>
  <conditionalFormatting sqref="O132:P132">
    <cfRule type="cellIs" dxfId="407" priority="388" stopIfTrue="1" operator="equal">
      <formula>#REF!</formula>
    </cfRule>
  </conditionalFormatting>
  <conditionalFormatting sqref="O132:P132">
    <cfRule type="cellIs" dxfId="406" priority="387" stopIfTrue="1" operator="equal">
      <formula>#REF!</formula>
    </cfRule>
  </conditionalFormatting>
  <conditionalFormatting sqref="O132:P132">
    <cfRule type="cellIs" dxfId="405" priority="386" stopIfTrue="1" operator="equal">
      <formula>#REF!</formula>
    </cfRule>
  </conditionalFormatting>
  <conditionalFormatting sqref="O132:P132">
    <cfRule type="cellIs" dxfId="404" priority="385" stopIfTrue="1" operator="equal">
      <formula>#REF!</formula>
    </cfRule>
  </conditionalFormatting>
  <conditionalFormatting sqref="O132:P132">
    <cfRule type="cellIs" dxfId="403" priority="384" stopIfTrue="1" operator="equal">
      <formula>#REF!</formula>
    </cfRule>
  </conditionalFormatting>
  <conditionalFormatting sqref="O132:P132">
    <cfRule type="cellIs" dxfId="402" priority="383" stopIfTrue="1" operator="equal">
      <formula>#REF!</formula>
    </cfRule>
  </conditionalFormatting>
  <conditionalFormatting sqref="O132:P132">
    <cfRule type="cellIs" dxfId="401" priority="382" stopIfTrue="1" operator="equal">
      <formula>#REF!</formula>
    </cfRule>
  </conditionalFormatting>
  <conditionalFormatting sqref="O132:P132">
    <cfRule type="cellIs" dxfId="400" priority="381" stopIfTrue="1" operator="equal">
      <formula>#REF!</formula>
    </cfRule>
  </conditionalFormatting>
  <conditionalFormatting sqref="O133:P133">
    <cfRule type="cellIs" dxfId="399" priority="380" stopIfTrue="1" operator="equal">
      <formula>#REF!</formula>
    </cfRule>
  </conditionalFormatting>
  <conditionalFormatting sqref="P133">
    <cfRule type="cellIs" dxfId="398" priority="379" stopIfTrue="1" operator="equal">
      <formula>#REF!</formula>
    </cfRule>
  </conditionalFormatting>
  <conditionalFormatting sqref="P133">
    <cfRule type="cellIs" dxfId="397" priority="378" stopIfTrue="1" operator="equal">
      <formula>#REF!</formula>
    </cfRule>
  </conditionalFormatting>
  <conditionalFormatting sqref="P113">
    <cfRule type="cellIs" dxfId="396" priority="377" stopIfTrue="1" operator="equal">
      <formula>#REF!</formula>
    </cfRule>
  </conditionalFormatting>
  <conditionalFormatting sqref="P113">
    <cfRule type="cellIs" dxfId="395" priority="376" stopIfTrue="1" operator="equal">
      <formula>#REF!</formula>
    </cfRule>
  </conditionalFormatting>
  <conditionalFormatting sqref="P113">
    <cfRule type="cellIs" dxfId="394" priority="375" stopIfTrue="1" operator="equal">
      <formula>#REF!</formula>
    </cfRule>
  </conditionalFormatting>
  <conditionalFormatting sqref="P113">
    <cfRule type="cellIs" dxfId="393" priority="374" stopIfTrue="1" operator="equal">
      <formula>#REF!</formula>
    </cfRule>
  </conditionalFormatting>
  <conditionalFormatting sqref="P113">
    <cfRule type="cellIs" dxfId="392" priority="373" stopIfTrue="1" operator="equal">
      <formula>#REF!</formula>
    </cfRule>
  </conditionalFormatting>
  <conditionalFormatting sqref="P113">
    <cfRule type="cellIs" dxfId="391" priority="372" stopIfTrue="1" operator="equal">
      <formula>#REF!</formula>
    </cfRule>
  </conditionalFormatting>
  <conditionalFormatting sqref="P86">
    <cfRule type="cellIs" dxfId="390" priority="365" stopIfTrue="1" operator="equal">
      <formula>#REF!</formula>
    </cfRule>
  </conditionalFormatting>
  <conditionalFormatting sqref="P86">
    <cfRule type="cellIs" dxfId="389" priority="364" stopIfTrue="1" operator="equal">
      <formula>#REF!</formula>
    </cfRule>
  </conditionalFormatting>
  <conditionalFormatting sqref="P86">
    <cfRule type="cellIs" dxfId="388" priority="363" stopIfTrue="1" operator="equal">
      <formula>#REF!</formula>
    </cfRule>
  </conditionalFormatting>
  <conditionalFormatting sqref="P86">
    <cfRule type="cellIs" dxfId="387" priority="362" stopIfTrue="1" operator="equal">
      <formula>#REF!</formula>
    </cfRule>
  </conditionalFormatting>
  <conditionalFormatting sqref="P86">
    <cfRule type="cellIs" dxfId="386" priority="361" stopIfTrue="1" operator="equal">
      <formula>#REF!</formula>
    </cfRule>
  </conditionalFormatting>
  <conditionalFormatting sqref="P86">
    <cfRule type="cellIs" dxfId="385" priority="360" stopIfTrue="1" operator="equal">
      <formula>#REF!</formula>
    </cfRule>
  </conditionalFormatting>
  <conditionalFormatting sqref="O127:P127">
    <cfRule type="cellIs" dxfId="384" priority="359" stopIfTrue="1" operator="equal">
      <formula>#REF!</formula>
    </cfRule>
  </conditionalFormatting>
  <conditionalFormatting sqref="P127">
    <cfRule type="cellIs" dxfId="383" priority="358" stopIfTrue="1" operator="equal">
      <formula>#REF!</formula>
    </cfRule>
  </conditionalFormatting>
  <conditionalFormatting sqref="P127">
    <cfRule type="cellIs" dxfId="382" priority="357" stopIfTrue="1" operator="equal">
      <formula>#REF!</formula>
    </cfRule>
  </conditionalFormatting>
  <conditionalFormatting sqref="O128:P128">
    <cfRule type="cellIs" dxfId="381" priority="356" stopIfTrue="1" operator="equal">
      <formula>#REF!</formula>
    </cfRule>
  </conditionalFormatting>
  <conditionalFormatting sqref="P128">
    <cfRule type="cellIs" dxfId="380" priority="355" stopIfTrue="1" operator="equal">
      <formula>#REF!</formula>
    </cfRule>
  </conditionalFormatting>
  <conditionalFormatting sqref="P128">
    <cfRule type="cellIs" dxfId="379" priority="354" stopIfTrue="1" operator="equal">
      <formula>#REF!</formula>
    </cfRule>
  </conditionalFormatting>
  <conditionalFormatting sqref="O139:P139">
    <cfRule type="cellIs" dxfId="378" priority="350" stopIfTrue="1" operator="equal">
      <formula>#REF!</formula>
    </cfRule>
  </conditionalFormatting>
  <conditionalFormatting sqref="O139:P139">
    <cfRule type="cellIs" dxfId="377" priority="349" stopIfTrue="1" operator="equal">
      <formula>#REF!</formula>
    </cfRule>
  </conditionalFormatting>
  <conditionalFormatting sqref="O139:P139">
    <cfRule type="cellIs" dxfId="376" priority="348" stopIfTrue="1" operator="equal">
      <formula>#REF!</formula>
    </cfRule>
  </conditionalFormatting>
  <conditionalFormatting sqref="O139:P139">
    <cfRule type="cellIs" dxfId="375" priority="347" stopIfTrue="1" operator="equal">
      <formula>#REF!</formula>
    </cfRule>
  </conditionalFormatting>
  <conditionalFormatting sqref="O139:P139">
    <cfRule type="cellIs" dxfId="374" priority="346" stopIfTrue="1" operator="equal">
      <formula>#REF!</formula>
    </cfRule>
  </conditionalFormatting>
  <conditionalFormatting sqref="O139:P139">
    <cfRule type="cellIs" dxfId="373" priority="345" stopIfTrue="1" operator="equal">
      <formula>#REF!</formula>
    </cfRule>
  </conditionalFormatting>
  <conditionalFormatting sqref="O139:P139">
    <cfRule type="cellIs" dxfId="372" priority="344" stopIfTrue="1" operator="equal">
      <formula>#REF!</formula>
    </cfRule>
  </conditionalFormatting>
  <conditionalFormatting sqref="O139:P139">
    <cfRule type="cellIs" dxfId="371" priority="343" stopIfTrue="1" operator="equal">
      <formula>#REF!</formula>
    </cfRule>
  </conditionalFormatting>
  <conditionalFormatting sqref="O139:P139">
    <cfRule type="cellIs" dxfId="370" priority="342" stopIfTrue="1" operator="equal">
      <formula>#REF!</formula>
    </cfRule>
  </conditionalFormatting>
  <conditionalFormatting sqref="O139:P139">
    <cfRule type="cellIs" dxfId="369" priority="341" stopIfTrue="1" operator="equal">
      <formula>#REF!</formula>
    </cfRule>
  </conditionalFormatting>
  <conditionalFormatting sqref="O139:P139">
    <cfRule type="cellIs" dxfId="368" priority="340" stopIfTrue="1" operator="equal">
      <formula>#REF!</formula>
    </cfRule>
  </conditionalFormatting>
  <conditionalFormatting sqref="O139:P139">
    <cfRule type="cellIs" dxfId="367" priority="339" stopIfTrue="1" operator="equal">
      <formula>#REF!</formula>
    </cfRule>
  </conditionalFormatting>
  <conditionalFormatting sqref="O139:P139">
    <cfRule type="cellIs" dxfId="366" priority="338" stopIfTrue="1" operator="equal">
      <formula>#REF!</formula>
    </cfRule>
  </conditionalFormatting>
  <conditionalFormatting sqref="O139:P139">
    <cfRule type="cellIs" dxfId="365" priority="337" stopIfTrue="1" operator="equal">
      <formula>#REF!</formula>
    </cfRule>
  </conditionalFormatting>
  <conditionalFormatting sqref="O139:P139">
    <cfRule type="cellIs" dxfId="364" priority="336" stopIfTrue="1" operator="equal">
      <formula>#REF!</formula>
    </cfRule>
  </conditionalFormatting>
  <conditionalFormatting sqref="O139:P139">
    <cfRule type="cellIs" dxfId="363" priority="335" stopIfTrue="1" operator="equal">
      <formula>#REF!</formula>
    </cfRule>
  </conditionalFormatting>
  <conditionalFormatting sqref="O139:P139">
    <cfRule type="cellIs" dxfId="362" priority="334" stopIfTrue="1" operator="equal">
      <formula>#REF!</formula>
    </cfRule>
  </conditionalFormatting>
  <conditionalFormatting sqref="O139:P139">
    <cfRule type="cellIs" dxfId="361" priority="333" stopIfTrue="1" operator="equal">
      <formula>#REF!</formula>
    </cfRule>
  </conditionalFormatting>
  <conditionalFormatting sqref="O139:P139">
    <cfRule type="cellIs" dxfId="360" priority="332" stopIfTrue="1" operator="equal">
      <formula>#REF!</formula>
    </cfRule>
  </conditionalFormatting>
  <conditionalFormatting sqref="O139:P139">
    <cfRule type="cellIs" dxfId="359" priority="331" stopIfTrue="1" operator="equal">
      <formula>#REF!</formula>
    </cfRule>
  </conditionalFormatting>
  <conditionalFormatting sqref="O139:P139">
    <cfRule type="cellIs" dxfId="358" priority="330" stopIfTrue="1" operator="equal">
      <formula>#REF!</formula>
    </cfRule>
  </conditionalFormatting>
  <conditionalFormatting sqref="P139">
    <cfRule type="cellIs" dxfId="357" priority="329" stopIfTrue="1" operator="equal">
      <formula>#REF!</formula>
    </cfRule>
  </conditionalFormatting>
  <conditionalFormatting sqref="P139">
    <cfRule type="cellIs" dxfId="356" priority="328" stopIfTrue="1" operator="equal">
      <formula>#REF!</formula>
    </cfRule>
  </conditionalFormatting>
  <conditionalFormatting sqref="P139">
    <cfRule type="cellIs" dxfId="355" priority="327" stopIfTrue="1" operator="equal">
      <formula>#REF!</formula>
    </cfRule>
  </conditionalFormatting>
  <conditionalFormatting sqref="P139">
    <cfRule type="cellIs" dxfId="354" priority="326" stopIfTrue="1" operator="equal">
      <formula>#REF!</formula>
    </cfRule>
  </conditionalFormatting>
  <conditionalFormatting sqref="P139">
    <cfRule type="cellIs" dxfId="353" priority="325" stopIfTrue="1" operator="equal">
      <formula>#REF!</formula>
    </cfRule>
  </conditionalFormatting>
  <conditionalFormatting sqref="P139">
    <cfRule type="cellIs" dxfId="352" priority="324" stopIfTrue="1" operator="equal">
      <formula>#REF!</formula>
    </cfRule>
  </conditionalFormatting>
  <conditionalFormatting sqref="P139">
    <cfRule type="cellIs" dxfId="351" priority="323" stopIfTrue="1" operator="equal">
      <formula>#REF!</formula>
    </cfRule>
  </conditionalFormatting>
  <conditionalFormatting sqref="P139">
    <cfRule type="cellIs" dxfId="350" priority="322" stopIfTrue="1" operator="equal">
      <formula>#REF!</formula>
    </cfRule>
  </conditionalFormatting>
  <conditionalFormatting sqref="P139">
    <cfRule type="cellIs" dxfId="349" priority="321" stopIfTrue="1" operator="equal">
      <formula>#REF!</formula>
    </cfRule>
  </conditionalFormatting>
  <conditionalFormatting sqref="P139">
    <cfRule type="cellIs" dxfId="348" priority="320" stopIfTrue="1" operator="equal">
      <formula>#REF!</formula>
    </cfRule>
  </conditionalFormatting>
  <conditionalFormatting sqref="P139">
    <cfRule type="cellIs" dxfId="347" priority="319" stopIfTrue="1" operator="equal">
      <formula>#REF!</formula>
    </cfRule>
  </conditionalFormatting>
  <conditionalFormatting sqref="P139">
    <cfRule type="cellIs" dxfId="346" priority="318" stopIfTrue="1" operator="equal">
      <formula>#REF!</formula>
    </cfRule>
  </conditionalFormatting>
  <conditionalFormatting sqref="P139">
    <cfRule type="cellIs" dxfId="345" priority="317" stopIfTrue="1" operator="equal">
      <formula>#REF!</formula>
    </cfRule>
  </conditionalFormatting>
  <conditionalFormatting sqref="P139">
    <cfRule type="cellIs" dxfId="344" priority="316" stopIfTrue="1" operator="equal">
      <formula>#REF!</formula>
    </cfRule>
  </conditionalFormatting>
  <conditionalFormatting sqref="P139">
    <cfRule type="cellIs" dxfId="343" priority="315" stopIfTrue="1" operator="equal">
      <formula>#REF!</formula>
    </cfRule>
  </conditionalFormatting>
  <conditionalFormatting sqref="P139">
    <cfRule type="cellIs" dxfId="342" priority="314" stopIfTrue="1" operator="equal">
      <formula>#REF!</formula>
    </cfRule>
  </conditionalFormatting>
  <conditionalFormatting sqref="P139">
    <cfRule type="cellIs" dxfId="341" priority="313" stopIfTrue="1" operator="equal">
      <formula>#REF!</formula>
    </cfRule>
  </conditionalFormatting>
  <conditionalFormatting sqref="P139">
    <cfRule type="cellIs" dxfId="340" priority="312" stopIfTrue="1" operator="equal">
      <formula>#REF!</formula>
    </cfRule>
  </conditionalFormatting>
  <conditionalFormatting sqref="P139">
    <cfRule type="cellIs" dxfId="339" priority="311" stopIfTrue="1" operator="equal">
      <formula>#REF!</formula>
    </cfRule>
  </conditionalFormatting>
  <conditionalFormatting sqref="P139">
    <cfRule type="cellIs" dxfId="338" priority="310" stopIfTrue="1" operator="equal">
      <formula>#REF!</formula>
    </cfRule>
  </conditionalFormatting>
  <conditionalFormatting sqref="P139">
    <cfRule type="cellIs" dxfId="337" priority="309" stopIfTrue="1" operator="equal">
      <formula>#REF!</formula>
    </cfRule>
  </conditionalFormatting>
  <conditionalFormatting sqref="P139">
    <cfRule type="cellIs" dxfId="336" priority="308" stopIfTrue="1" operator="equal">
      <formula>#REF!</formula>
    </cfRule>
  </conditionalFormatting>
  <conditionalFormatting sqref="P139">
    <cfRule type="cellIs" dxfId="335" priority="307" stopIfTrue="1" operator="equal">
      <formula>#REF!</formula>
    </cfRule>
  </conditionalFormatting>
  <conditionalFormatting sqref="P139">
    <cfRule type="cellIs" dxfId="334" priority="306" stopIfTrue="1" operator="equal">
      <formula>#REF!</formula>
    </cfRule>
  </conditionalFormatting>
  <conditionalFormatting sqref="P139">
    <cfRule type="cellIs" dxfId="333" priority="305" stopIfTrue="1" operator="equal">
      <formula>#REF!</formula>
    </cfRule>
  </conditionalFormatting>
  <conditionalFormatting sqref="P139">
    <cfRule type="cellIs" dxfId="332" priority="304" stopIfTrue="1" operator="equal">
      <formula>#REF!</formula>
    </cfRule>
  </conditionalFormatting>
  <conditionalFormatting sqref="P139">
    <cfRule type="cellIs" dxfId="331" priority="303" stopIfTrue="1" operator="equal">
      <formula>#REF!</formula>
    </cfRule>
  </conditionalFormatting>
  <conditionalFormatting sqref="P139">
    <cfRule type="cellIs" dxfId="330" priority="302" stopIfTrue="1" operator="equal">
      <formula>#REF!</formula>
    </cfRule>
  </conditionalFormatting>
  <conditionalFormatting sqref="P139">
    <cfRule type="cellIs" dxfId="329" priority="301" stopIfTrue="1" operator="equal">
      <formula>#REF!</formula>
    </cfRule>
  </conditionalFormatting>
  <conditionalFormatting sqref="P139">
    <cfRule type="cellIs" dxfId="328" priority="300" stopIfTrue="1" operator="equal">
      <formula>#REF!</formula>
    </cfRule>
  </conditionalFormatting>
  <conditionalFormatting sqref="P139">
    <cfRule type="cellIs" dxfId="327" priority="299" stopIfTrue="1" operator="equal">
      <formula>#REF!</formula>
    </cfRule>
  </conditionalFormatting>
  <conditionalFormatting sqref="O139:P139">
    <cfRule type="cellIs" dxfId="326" priority="298" stopIfTrue="1" operator="equal">
      <formula>#REF!</formula>
    </cfRule>
  </conditionalFormatting>
  <conditionalFormatting sqref="O139:P139">
    <cfRule type="cellIs" dxfId="325" priority="297" stopIfTrue="1" operator="equal">
      <formula>#REF!</formula>
    </cfRule>
  </conditionalFormatting>
  <conditionalFormatting sqref="O139:P139">
    <cfRule type="cellIs" dxfId="324" priority="296" stopIfTrue="1" operator="equal">
      <formula>#REF!</formula>
    </cfRule>
  </conditionalFormatting>
  <conditionalFormatting sqref="O139:P139">
    <cfRule type="cellIs" dxfId="323" priority="295" stopIfTrue="1" operator="equal">
      <formula>#REF!</formula>
    </cfRule>
  </conditionalFormatting>
  <conditionalFormatting sqref="O139:P139">
    <cfRule type="cellIs" dxfId="322" priority="294" stopIfTrue="1" operator="equal">
      <formula>#REF!</formula>
    </cfRule>
  </conditionalFormatting>
  <conditionalFormatting sqref="O139:P139">
    <cfRule type="cellIs" dxfId="321" priority="293" stopIfTrue="1" operator="equal">
      <formula>#REF!</formula>
    </cfRule>
  </conditionalFormatting>
  <conditionalFormatting sqref="O139:P139">
    <cfRule type="cellIs" dxfId="320" priority="292" stopIfTrue="1" operator="equal">
      <formula>#REF!</formula>
    </cfRule>
  </conditionalFormatting>
  <conditionalFormatting sqref="O139:P139">
    <cfRule type="cellIs" dxfId="319" priority="291" stopIfTrue="1" operator="equal">
      <formula>#REF!</formula>
    </cfRule>
  </conditionalFormatting>
  <conditionalFormatting sqref="O139:P139">
    <cfRule type="cellIs" dxfId="318" priority="290" stopIfTrue="1" operator="equal">
      <formula>#REF!</formula>
    </cfRule>
  </conditionalFormatting>
  <conditionalFormatting sqref="O139:P139">
    <cfRule type="cellIs" dxfId="317" priority="289" stopIfTrue="1" operator="equal">
      <formula>#REF!</formula>
    </cfRule>
  </conditionalFormatting>
  <conditionalFormatting sqref="O139:P139">
    <cfRule type="cellIs" dxfId="316" priority="288" stopIfTrue="1" operator="equal">
      <formula>#REF!</formula>
    </cfRule>
  </conditionalFormatting>
  <conditionalFormatting sqref="O139:P139">
    <cfRule type="cellIs" dxfId="315" priority="287" stopIfTrue="1" operator="equal">
      <formula>#REF!</formula>
    </cfRule>
  </conditionalFormatting>
  <conditionalFormatting sqref="O139:P139">
    <cfRule type="cellIs" dxfId="314" priority="286" stopIfTrue="1" operator="equal">
      <formula>#REF!</formula>
    </cfRule>
  </conditionalFormatting>
  <conditionalFormatting sqref="O139:P139">
    <cfRule type="cellIs" dxfId="313" priority="285" stopIfTrue="1" operator="equal">
      <formula>#REF!</formula>
    </cfRule>
  </conditionalFormatting>
  <conditionalFormatting sqref="O139:P139">
    <cfRule type="cellIs" dxfId="312" priority="284" stopIfTrue="1" operator="equal">
      <formula>#REF!</formula>
    </cfRule>
  </conditionalFormatting>
  <conditionalFormatting sqref="O139:P139">
    <cfRule type="cellIs" dxfId="311" priority="283" stopIfTrue="1" operator="equal">
      <formula>#REF!</formula>
    </cfRule>
  </conditionalFormatting>
  <conditionalFormatting sqref="O139:P139">
    <cfRule type="cellIs" dxfId="310" priority="282" stopIfTrue="1" operator="equal">
      <formula>#REF!</formula>
    </cfRule>
  </conditionalFormatting>
  <conditionalFormatting sqref="O139:P139">
    <cfRule type="cellIs" dxfId="309" priority="281" stopIfTrue="1" operator="equal">
      <formula>#REF!</formula>
    </cfRule>
  </conditionalFormatting>
  <conditionalFormatting sqref="O139:P139">
    <cfRule type="cellIs" dxfId="308" priority="280" stopIfTrue="1" operator="equal">
      <formula>#REF!</formula>
    </cfRule>
  </conditionalFormatting>
  <conditionalFormatting sqref="O139:P139">
    <cfRule type="cellIs" dxfId="307" priority="279" stopIfTrue="1" operator="equal">
      <formula>#REF!</formula>
    </cfRule>
  </conditionalFormatting>
  <conditionalFormatting sqref="O139:P139">
    <cfRule type="cellIs" dxfId="306" priority="278" stopIfTrue="1" operator="equal">
      <formula>#REF!</formula>
    </cfRule>
  </conditionalFormatting>
  <conditionalFormatting sqref="P139">
    <cfRule type="cellIs" dxfId="305" priority="277" stopIfTrue="1" operator="equal">
      <formula>#REF!</formula>
    </cfRule>
  </conditionalFormatting>
  <conditionalFormatting sqref="P139">
    <cfRule type="cellIs" dxfId="304" priority="276" stopIfTrue="1" operator="equal">
      <formula>#REF!</formula>
    </cfRule>
  </conditionalFormatting>
  <conditionalFormatting sqref="P139">
    <cfRule type="cellIs" dxfId="303" priority="275" stopIfTrue="1" operator="equal">
      <formula>#REF!</formula>
    </cfRule>
  </conditionalFormatting>
  <conditionalFormatting sqref="P139">
    <cfRule type="cellIs" dxfId="302" priority="274" stopIfTrue="1" operator="equal">
      <formula>#REF!</formula>
    </cfRule>
  </conditionalFormatting>
  <conditionalFormatting sqref="P139">
    <cfRule type="cellIs" dxfId="301" priority="273" stopIfTrue="1" operator="equal">
      <formula>#REF!</formula>
    </cfRule>
  </conditionalFormatting>
  <conditionalFormatting sqref="P139">
    <cfRule type="cellIs" dxfId="300" priority="272" stopIfTrue="1" operator="equal">
      <formula>#REF!</formula>
    </cfRule>
  </conditionalFormatting>
  <conditionalFormatting sqref="P139">
    <cfRule type="cellIs" dxfId="299" priority="271" stopIfTrue="1" operator="equal">
      <formula>#REF!</formula>
    </cfRule>
  </conditionalFormatting>
  <conditionalFormatting sqref="P139">
    <cfRule type="cellIs" dxfId="298" priority="270" stopIfTrue="1" operator="equal">
      <formula>#REF!</formula>
    </cfRule>
  </conditionalFormatting>
  <conditionalFormatting sqref="P139">
    <cfRule type="cellIs" dxfId="297" priority="269" stopIfTrue="1" operator="equal">
      <formula>#REF!</formula>
    </cfRule>
  </conditionalFormatting>
  <conditionalFormatting sqref="P139">
    <cfRule type="cellIs" dxfId="296" priority="268" stopIfTrue="1" operator="equal">
      <formula>#REF!</formula>
    </cfRule>
  </conditionalFormatting>
  <conditionalFormatting sqref="P139">
    <cfRule type="cellIs" dxfId="295" priority="267" stopIfTrue="1" operator="equal">
      <formula>#REF!</formula>
    </cfRule>
  </conditionalFormatting>
  <conditionalFormatting sqref="P139">
    <cfRule type="cellIs" dxfId="294" priority="266" stopIfTrue="1" operator="equal">
      <formula>#REF!</formula>
    </cfRule>
  </conditionalFormatting>
  <conditionalFormatting sqref="P139">
    <cfRule type="cellIs" dxfId="293" priority="265" stopIfTrue="1" operator="equal">
      <formula>#REF!</formula>
    </cfRule>
  </conditionalFormatting>
  <conditionalFormatting sqref="P139">
    <cfRule type="cellIs" dxfId="292" priority="264" stopIfTrue="1" operator="equal">
      <formula>#REF!</formula>
    </cfRule>
  </conditionalFormatting>
  <conditionalFormatting sqref="P139">
    <cfRule type="cellIs" dxfId="291" priority="263" stopIfTrue="1" operator="equal">
      <formula>#REF!</formula>
    </cfRule>
  </conditionalFormatting>
  <conditionalFormatting sqref="P139">
    <cfRule type="cellIs" dxfId="290" priority="262" stopIfTrue="1" operator="equal">
      <formula>#REF!</formula>
    </cfRule>
  </conditionalFormatting>
  <conditionalFormatting sqref="P139">
    <cfRule type="cellIs" dxfId="289" priority="261" stopIfTrue="1" operator="equal">
      <formula>#REF!</formula>
    </cfRule>
  </conditionalFormatting>
  <conditionalFormatting sqref="P139">
    <cfRule type="cellIs" dxfId="288" priority="260" stopIfTrue="1" operator="equal">
      <formula>#REF!</formula>
    </cfRule>
  </conditionalFormatting>
  <conditionalFormatting sqref="P139">
    <cfRule type="cellIs" dxfId="287" priority="259" stopIfTrue="1" operator="equal">
      <formula>#REF!</formula>
    </cfRule>
  </conditionalFormatting>
  <conditionalFormatting sqref="P139">
    <cfRule type="cellIs" dxfId="286" priority="258" stopIfTrue="1" operator="equal">
      <formula>#REF!</formula>
    </cfRule>
  </conditionalFormatting>
  <conditionalFormatting sqref="P139">
    <cfRule type="cellIs" dxfId="285" priority="257" stopIfTrue="1" operator="equal">
      <formula>#REF!</formula>
    </cfRule>
  </conditionalFormatting>
  <conditionalFormatting sqref="P139">
    <cfRule type="cellIs" dxfId="284" priority="256" stopIfTrue="1" operator="equal">
      <formula>#REF!</formula>
    </cfRule>
  </conditionalFormatting>
  <conditionalFormatting sqref="P139">
    <cfRule type="cellIs" dxfId="283" priority="255" stopIfTrue="1" operator="equal">
      <formula>#REF!</formula>
    </cfRule>
  </conditionalFormatting>
  <conditionalFormatting sqref="P139">
    <cfRule type="cellIs" dxfId="282" priority="254" stopIfTrue="1" operator="equal">
      <formula>#REF!</formula>
    </cfRule>
  </conditionalFormatting>
  <conditionalFormatting sqref="P139">
    <cfRule type="cellIs" dxfId="281" priority="253" stopIfTrue="1" operator="equal">
      <formula>#REF!</formula>
    </cfRule>
  </conditionalFormatting>
  <conditionalFormatting sqref="P139">
    <cfRule type="cellIs" dxfId="280" priority="252" stopIfTrue="1" operator="equal">
      <formula>#REF!</formula>
    </cfRule>
  </conditionalFormatting>
  <conditionalFormatting sqref="P139">
    <cfRule type="cellIs" dxfId="279" priority="251" stopIfTrue="1" operator="equal">
      <formula>#REF!</formula>
    </cfRule>
  </conditionalFormatting>
  <conditionalFormatting sqref="P139">
    <cfRule type="cellIs" dxfId="278" priority="250" stopIfTrue="1" operator="equal">
      <formula>#REF!</formula>
    </cfRule>
  </conditionalFormatting>
  <conditionalFormatting sqref="P139">
    <cfRule type="cellIs" dxfId="277" priority="249" stopIfTrue="1" operator="equal">
      <formula>#REF!</formula>
    </cfRule>
  </conditionalFormatting>
  <conditionalFormatting sqref="P139">
    <cfRule type="cellIs" dxfId="276" priority="248" stopIfTrue="1" operator="equal">
      <formula>#REF!</formula>
    </cfRule>
  </conditionalFormatting>
  <conditionalFormatting sqref="P139">
    <cfRule type="cellIs" dxfId="275" priority="247" stopIfTrue="1" operator="equal">
      <formula>#REF!</formula>
    </cfRule>
  </conditionalFormatting>
  <conditionalFormatting sqref="O140:P140">
    <cfRule type="cellIs" dxfId="274" priority="246" stopIfTrue="1" operator="equal">
      <formula>#REF!</formula>
    </cfRule>
  </conditionalFormatting>
  <conditionalFormatting sqref="O140:P140 O90:O91">
    <cfRule type="cellIs" dxfId="273" priority="245" stopIfTrue="1" operator="equal">
      <formula>#REF!</formula>
    </cfRule>
  </conditionalFormatting>
  <conditionalFormatting sqref="O140:P140">
    <cfRule type="cellIs" dxfId="272" priority="244" stopIfTrue="1" operator="equal">
      <formula>#REF!</formula>
    </cfRule>
  </conditionalFormatting>
  <conditionalFormatting sqref="O140:P140">
    <cfRule type="cellIs" dxfId="271" priority="243" stopIfTrue="1" operator="equal">
      <formula>#REF!</formula>
    </cfRule>
  </conditionalFormatting>
  <conditionalFormatting sqref="O140:P140">
    <cfRule type="cellIs" dxfId="270" priority="242" stopIfTrue="1" operator="equal">
      <formula>#REF!</formula>
    </cfRule>
  </conditionalFormatting>
  <conditionalFormatting sqref="O140:P140">
    <cfRule type="cellIs" dxfId="269" priority="241" stopIfTrue="1" operator="equal">
      <formula>#REF!</formula>
    </cfRule>
  </conditionalFormatting>
  <conditionalFormatting sqref="O140:P140">
    <cfRule type="cellIs" dxfId="268" priority="240" stopIfTrue="1" operator="equal">
      <formula>#REF!</formula>
    </cfRule>
  </conditionalFormatting>
  <conditionalFormatting sqref="O140:P140">
    <cfRule type="cellIs" dxfId="267" priority="239" stopIfTrue="1" operator="equal">
      <formula>#REF!</formula>
    </cfRule>
  </conditionalFormatting>
  <conditionalFormatting sqref="O140:P140">
    <cfRule type="cellIs" dxfId="266" priority="238" stopIfTrue="1" operator="equal">
      <formula>#REF!</formula>
    </cfRule>
  </conditionalFormatting>
  <conditionalFormatting sqref="O140:P140">
    <cfRule type="cellIs" dxfId="265" priority="237" stopIfTrue="1" operator="equal">
      <formula>#REF!</formula>
    </cfRule>
  </conditionalFormatting>
  <conditionalFormatting sqref="O140:P140">
    <cfRule type="cellIs" dxfId="264" priority="236" stopIfTrue="1" operator="equal">
      <formula>#REF!</formula>
    </cfRule>
  </conditionalFormatting>
  <conditionalFormatting sqref="O140:P140">
    <cfRule type="cellIs" dxfId="263" priority="235" stopIfTrue="1" operator="equal">
      <formula>#REF!</formula>
    </cfRule>
  </conditionalFormatting>
  <conditionalFormatting sqref="O140:P140">
    <cfRule type="cellIs" dxfId="262" priority="234" stopIfTrue="1" operator="equal">
      <formula>#REF!</formula>
    </cfRule>
  </conditionalFormatting>
  <conditionalFormatting sqref="O140:P140">
    <cfRule type="cellIs" dxfId="261" priority="233" stopIfTrue="1" operator="equal">
      <formula>#REF!</formula>
    </cfRule>
  </conditionalFormatting>
  <conditionalFormatting sqref="O140:P140">
    <cfRule type="cellIs" dxfId="260" priority="232" stopIfTrue="1" operator="equal">
      <formula>#REF!</formula>
    </cfRule>
  </conditionalFormatting>
  <conditionalFormatting sqref="O140:P140">
    <cfRule type="cellIs" dxfId="259" priority="231" stopIfTrue="1" operator="equal">
      <formula>#REF!</formula>
    </cfRule>
  </conditionalFormatting>
  <conditionalFormatting sqref="O140:P140">
    <cfRule type="cellIs" dxfId="258" priority="230" stopIfTrue="1" operator="equal">
      <formula>#REF!</formula>
    </cfRule>
  </conditionalFormatting>
  <conditionalFormatting sqref="O140:P140">
    <cfRule type="cellIs" dxfId="257" priority="229" stopIfTrue="1" operator="equal">
      <formula>#REF!</formula>
    </cfRule>
  </conditionalFormatting>
  <conditionalFormatting sqref="O140:P140">
    <cfRule type="cellIs" dxfId="256" priority="228" stopIfTrue="1" operator="equal">
      <formula>#REF!</formula>
    </cfRule>
  </conditionalFormatting>
  <conditionalFormatting sqref="O140:P140">
    <cfRule type="cellIs" dxfId="255" priority="227" stopIfTrue="1" operator="equal">
      <formula>#REF!</formula>
    </cfRule>
  </conditionalFormatting>
  <conditionalFormatting sqref="O140:P140">
    <cfRule type="cellIs" dxfId="254" priority="226" stopIfTrue="1" operator="equal">
      <formula>#REF!</formula>
    </cfRule>
  </conditionalFormatting>
  <conditionalFormatting sqref="P140">
    <cfRule type="cellIs" dxfId="253" priority="225" stopIfTrue="1" operator="equal">
      <formula>#REF!</formula>
    </cfRule>
  </conditionalFormatting>
  <conditionalFormatting sqref="P140">
    <cfRule type="cellIs" dxfId="252" priority="224" stopIfTrue="1" operator="equal">
      <formula>#REF!</formula>
    </cfRule>
  </conditionalFormatting>
  <conditionalFormatting sqref="P140">
    <cfRule type="cellIs" dxfId="251" priority="223" stopIfTrue="1" operator="equal">
      <formula>#REF!</formula>
    </cfRule>
  </conditionalFormatting>
  <conditionalFormatting sqref="P140">
    <cfRule type="cellIs" dxfId="250" priority="222" stopIfTrue="1" operator="equal">
      <formula>#REF!</formula>
    </cfRule>
  </conditionalFormatting>
  <conditionalFormatting sqref="P140">
    <cfRule type="cellIs" dxfId="249" priority="221" stopIfTrue="1" operator="equal">
      <formula>#REF!</formula>
    </cfRule>
  </conditionalFormatting>
  <conditionalFormatting sqref="P140">
    <cfRule type="cellIs" dxfId="248" priority="220" stopIfTrue="1" operator="equal">
      <formula>#REF!</formula>
    </cfRule>
  </conditionalFormatting>
  <conditionalFormatting sqref="P140">
    <cfRule type="cellIs" dxfId="247" priority="219" stopIfTrue="1" operator="equal">
      <formula>#REF!</formula>
    </cfRule>
  </conditionalFormatting>
  <conditionalFormatting sqref="P140">
    <cfRule type="cellIs" dxfId="246" priority="218" stopIfTrue="1" operator="equal">
      <formula>#REF!</formula>
    </cfRule>
  </conditionalFormatting>
  <conditionalFormatting sqref="P140">
    <cfRule type="cellIs" dxfId="245" priority="217" stopIfTrue="1" operator="equal">
      <formula>#REF!</formula>
    </cfRule>
  </conditionalFormatting>
  <conditionalFormatting sqref="P140">
    <cfRule type="cellIs" dxfId="244" priority="216" stopIfTrue="1" operator="equal">
      <formula>#REF!</formula>
    </cfRule>
  </conditionalFormatting>
  <conditionalFormatting sqref="P140">
    <cfRule type="cellIs" dxfId="243" priority="215" stopIfTrue="1" operator="equal">
      <formula>#REF!</formula>
    </cfRule>
  </conditionalFormatting>
  <conditionalFormatting sqref="P140">
    <cfRule type="cellIs" dxfId="242" priority="214" stopIfTrue="1" operator="equal">
      <formula>#REF!</formula>
    </cfRule>
  </conditionalFormatting>
  <conditionalFormatting sqref="P140">
    <cfRule type="cellIs" dxfId="241" priority="213" stopIfTrue="1" operator="equal">
      <formula>#REF!</formula>
    </cfRule>
  </conditionalFormatting>
  <conditionalFormatting sqref="P140">
    <cfRule type="cellIs" dxfId="240" priority="212" stopIfTrue="1" operator="equal">
      <formula>#REF!</formula>
    </cfRule>
  </conditionalFormatting>
  <conditionalFormatting sqref="P140">
    <cfRule type="cellIs" dxfId="239" priority="211" stopIfTrue="1" operator="equal">
      <formula>#REF!</formula>
    </cfRule>
  </conditionalFormatting>
  <conditionalFormatting sqref="P140">
    <cfRule type="cellIs" dxfId="238" priority="210" stopIfTrue="1" operator="equal">
      <formula>#REF!</formula>
    </cfRule>
  </conditionalFormatting>
  <conditionalFormatting sqref="P140">
    <cfRule type="cellIs" dxfId="237" priority="209" stopIfTrue="1" operator="equal">
      <formula>#REF!</formula>
    </cfRule>
  </conditionalFormatting>
  <conditionalFormatting sqref="P140">
    <cfRule type="cellIs" dxfId="236" priority="208" stopIfTrue="1" operator="equal">
      <formula>#REF!</formula>
    </cfRule>
  </conditionalFormatting>
  <conditionalFormatting sqref="P140">
    <cfRule type="cellIs" dxfId="235" priority="207" stopIfTrue="1" operator="equal">
      <formula>#REF!</formula>
    </cfRule>
  </conditionalFormatting>
  <conditionalFormatting sqref="P140">
    <cfRule type="cellIs" dxfId="234" priority="206" stopIfTrue="1" operator="equal">
      <formula>#REF!</formula>
    </cfRule>
  </conditionalFormatting>
  <conditionalFormatting sqref="P140">
    <cfRule type="cellIs" dxfId="233" priority="205" stopIfTrue="1" operator="equal">
      <formula>#REF!</formula>
    </cfRule>
  </conditionalFormatting>
  <conditionalFormatting sqref="P140">
    <cfRule type="cellIs" dxfId="232" priority="204" stopIfTrue="1" operator="equal">
      <formula>#REF!</formula>
    </cfRule>
  </conditionalFormatting>
  <conditionalFormatting sqref="P140">
    <cfRule type="cellIs" dxfId="231" priority="203" stopIfTrue="1" operator="equal">
      <formula>#REF!</formula>
    </cfRule>
  </conditionalFormatting>
  <conditionalFormatting sqref="P140">
    <cfRule type="cellIs" dxfId="230" priority="202" stopIfTrue="1" operator="equal">
      <formula>#REF!</formula>
    </cfRule>
  </conditionalFormatting>
  <conditionalFormatting sqref="P140">
    <cfRule type="cellIs" dxfId="229" priority="201" stopIfTrue="1" operator="equal">
      <formula>#REF!</formula>
    </cfRule>
  </conditionalFormatting>
  <conditionalFormatting sqref="P140">
    <cfRule type="cellIs" dxfId="228" priority="200" stopIfTrue="1" operator="equal">
      <formula>#REF!</formula>
    </cfRule>
  </conditionalFormatting>
  <conditionalFormatting sqref="P140">
    <cfRule type="cellIs" dxfId="227" priority="199" stopIfTrue="1" operator="equal">
      <formula>#REF!</formula>
    </cfRule>
  </conditionalFormatting>
  <conditionalFormatting sqref="P140">
    <cfRule type="cellIs" dxfId="226" priority="198" stopIfTrue="1" operator="equal">
      <formula>#REF!</formula>
    </cfRule>
  </conditionalFormatting>
  <conditionalFormatting sqref="P140">
    <cfRule type="cellIs" dxfId="225" priority="197" stopIfTrue="1" operator="equal">
      <formula>#REF!</formula>
    </cfRule>
  </conditionalFormatting>
  <conditionalFormatting sqref="P140">
    <cfRule type="cellIs" dxfId="224" priority="196" stopIfTrue="1" operator="equal">
      <formula>#REF!</formula>
    </cfRule>
  </conditionalFormatting>
  <conditionalFormatting sqref="P140">
    <cfRule type="cellIs" dxfId="223" priority="195" stopIfTrue="1" operator="equal">
      <formula>#REF!</formula>
    </cfRule>
  </conditionalFormatting>
  <conditionalFormatting sqref="O140:P140">
    <cfRule type="cellIs" dxfId="222" priority="194" stopIfTrue="1" operator="equal">
      <formula>#REF!</formula>
    </cfRule>
  </conditionalFormatting>
  <conditionalFormatting sqref="O140:P140">
    <cfRule type="cellIs" dxfId="221" priority="193" stopIfTrue="1" operator="equal">
      <formula>#REF!</formula>
    </cfRule>
  </conditionalFormatting>
  <conditionalFormatting sqref="O140:P140">
    <cfRule type="cellIs" dxfId="220" priority="192" stopIfTrue="1" operator="equal">
      <formula>#REF!</formula>
    </cfRule>
  </conditionalFormatting>
  <conditionalFormatting sqref="O140:P140">
    <cfRule type="cellIs" dxfId="219" priority="191" stopIfTrue="1" operator="equal">
      <formula>#REF!</formula>
    </cfRule>
  </conditionalFormatting>
  <conditionalFormatting sqref="O140:P140">
    <cfRule type="cellIs" dxfId="218" priority="190" stopIfTrue="1" operator="equal">
      <formula>#REF!</formula>
    </cfRule>
  </conditionalFormatting>
  <conditionalFormatting sqref="O140:P140">
    <cfRule type="cellIs" dxfId="217" priority="189" stopIfTrue="1" operator="equal">
      <formula>#REF!</formula>
    </cfRule>
  </conditionalFormatting>
  <conditionalFormatting sqref="O140:P140">
    <cfRule type="cellIs" dxfId="216" priority="188" stopIfTrue="1" operator="equal">
      <formula>#REF!</formula>
    </cfRule>
  </conditionalFormatting>
  <conditionalFormatting sqref="O140:P140">
    <cfRule type="cellIs" dxfId="215" priority="187" stopIfTrue="1" operator="equal">
      <formula>#REF!</formula>
    </cfRule>
  </conditionalFormatting>
  <conditionalFormatting sqref="O140:P140">
    <cfRule type="cellIs" dxfId="214" priority="186" stopIfTrue="1" operator="equal">
      <formula>#REF!</formula>
    </cfRule>
  </conditionalFormatting>
  <conditionalFormatting sqref="O140:P140">
    <cfRule type="cellIs" dxfId="213" priority="185" stopIfTrue="1" operator="equal">
      <formula>#REF!</formula>
    </cfRule>
  </conditionalFormatting>
  <conditionalFormatting sqref="O140:P140">
    <cfRule type="cellIs" dxfId="212" priority="184" stopIfTrue="1" operator="equal">
      <formula>#REF!</formula>
    </cfRule>
  </conditionalFormatting>
  <conditionalFormatting sqref="O140:P140">
    <cfRule type="cellIs" dxfId="211" priority="183" stopIfTrue="1" operator="equal">
      <formula>#REF!</formula>
    </cfRule>
  </conditionalFormatting>
  <conditionalFormatting sqref="O140:P140">
    <cfRule type="cellIs" dxfId="210" priority="182" stopIfTrue="1" operator="equal">
      <formula>#REF!</formula>
    </cfRule>
  </conditionalFormatting>
  <conditionalFormatting sqref="O140:P140">
    <cfRule type="cellIs" dxfId="209" priority="181" stopIfTrue="1" operator="equal">
      <formula>#REF!</formula>
    </cfRule>
  </conditionalFormatting>
  <conditionalFormatting sqref="O140:P140">
    <cfRule type="cellIs" dxfId="208" priority="180" stopIfTrue="1" operator="equal">
      <formula>#REF!</formula>
    </cfRule>
  </conditionalFormatting>
  <conditionalFormatting sqref="O140:P140">
    <cfRule type="cellIs" dxfId="207" priority="179" stopIfTrue="1" operator="equal">
      <formula>#REF!</formula>
    </cfRule>
  </conditionalFormatting>
  <conditionalFormatting sqref="O140:P140">
    <cfRule type="cellIs" dxfId="206" priority="178" stopIfTrue="1" operator="equal">
      <formula>#REF!</formula>
    </cfRule>
  </conditionalFormatting>
  <conditionalFormatting sqref="O140:P140">
    <cfRule type="cellIs" dxfId="205" priority="177" stopIfTrue="1" operator="equal">
      <formula>#REF!</formula>
    </cfRule>
  </conditionalFormatting>
  <conditionalFormatting sqref="O140:P140">
    <cfRule type="cellIs" dxfId="204" priority="176" stopIfTrue="1" operator="equal">
      <formula>#REF!</formula>
    </cfRule>
  </conditionalFormatting>
  <conditionalFormatting sqref="O140:P140">
    <cfRule type="cellIs" dxfId="203" priority="175" stopIfTrue="1" operator="equal">
      <formula>#REF!</formula>
    </cfRule>
  </conditionalFormatting>
  <conditionalFormatting sqref="O140:P140">
    <cfRule type="cellIs" dxfId="202" priority="174" stopIfTrue="1" operator="equal">
      <formula>#REF!</formula>
    </cfRule>
  </conditionalFormatting>
  <conditionalFormatting sqref="P140">
    <cfRule type="cellIs" dxfId="201" priority="173" stopIfTrue="1" operator="equal">
      <formula>#REF!</formula>
    </cfRule>
  </conditionalFormatting>
  <conditionalFormatting sqref="P140">
    <cfRule type="cellIs" dxfId="200" priority="172" stopIfTrue="1" operator="equal">
      <formula>#REF!</formula>
    </cfRule>
  </conditionalFormatting>
  <conditionalFormatting sqref="P140">
    <cfRule type="cellIs" dxfId="199" priority="171" stopIfTrue="1" operator="equal">
      <formula>#REF!</formula>
    </cfRule>
  </conditionalFormatting>
  <conditionalFormatting sqref="P140">
    <cfRule type="cellIs" dxfId="198" priority="170" stopIfTrue="1" operator="equal">
      <formula>#REF!</formula>
    </cfRule>
  </conditionalFormatting>
  <conditionalFormatting sqref="P140">
    <cfRule type="cellIs" dxfId="197" priority="169" stopIfTrue="1" operator="equal">
      <formula>#REF!</formula>
    </cfRule>
  </conditionalFormatting>
  <conditionalFormatting sqref="P140">
    <cfRule type="cellIs" dxfId="196" priority="168" stopIfTrue="1" operator="equal">
      <formula>#REF!</formula>
    </cfRule>
  </conditionalFormatting>
  <conditionalFormatting sqref="P140">
    <cfRule type="cellIs" dxfId="195" priority="167" stopIfTrue="1" operator="equal">
      <formula>#REF!</formula>
    </cfRule>
  </conditionalFormatting>
  <conditionalFormatting sqref="P140">
    <cfRule type="cellIs" dxfId="194" priority="166" stopIfTrue="1" operator="equal">
      <formula>#REF!</formula>
    </cfRule>
  </conditionalFormatting>
  <conditionalFormatting sqref="P140">
    <cfRule type="cellIs" dxfId="193" priority="165" stopIfTrue="1" operator="equal">
      <formula>#REF!</formula>
    </cfRule>
  </conditionalFormatting>
  <conditionalFormatting sqref="P140">
    <cfRule type="cellIs" dxfId="192" priority="164" stopIfTrue="1" operator="equal">
      <formula>#REF!</formula>
    </cfRule>
  </conditionalFormatting>
  <conditionalFormatting sqref="P140">
    <cfRule type="cellIs" dxfId="191" priority="163" stopIfTrue="1" operator="equal">
      <formula>#REF!</formula>
    </cfRule>
  </conditionalFormatting>
  <conditionalFormatting sqref="P140">
    <cfRule type="cellIs" dxfId="190" priority="162" stopIfTrue="1" operator="equal">
      <formula>#REF!</formula>
    </cfRule>
  </conditionalFormatting>
  <conditionalFormatting sqref="P140">
    <cfRule type="cellIs" dxfId="189" priority="161" stopIfTrue="1" operator="equal">
      <formula>#REF!</formula>
    </cfRule>
  </conditionalFormatting>
  <conditionalFormatting sqref="P140">
    <cfRule type="cellIs" dxfId="188" priority="160" stopIfTrue="1" operator="equal">
      <formula>#REF!</formula>
    </cfRule>
  </conditionalFormatting>
  <conditionalFormatting sqref="P140">
    <cfRule type="cellIs" dxfId="187" priority="159" stopIfTrue="1" operator="equal">
      <formula>#REF!</formula>
    </cfRule>
  </conditionalFormatting>
  <conditionalFormatting sqref="P140">
    <cfRule type="cellIs" dxfId="186" priority="158" stopIfTrue="1" operator="equal">
      <formula>#REF!</formula>
    </cfRule>
  </conditionalFormatting>
  <conditionalFormatting sqref="P140">
    <cfRule type="cellIs" dxfId="185" priority="157" stopIfTrue="1" operator="equal">
      <formula>#REF!</formula>
    </cfRule>
  </conditionalFormatting>
  <conditionalFormatting sqref="P140">
    <cfRule type="cellIs" dxfId="184" priority="156" stopIfTrue="1" operator="equal">
      <formula>#REF!</formula>
    </cfRule>
  </conditionalFormatting>
  <conditionalFormatting sqref="P140">
    <cfRule type="cellIs" dxfId="183" priority="155" stopIfTrue="1" operator="equal">
      <formula>#REF!</formula>
    </cfRule>
  </conditionalFormatting>
  <conditionalFormatting sqref="P140">
    <cfRule type="cellIs" dxfId="182" priority="154" stopIfTrue="1" operator="equal">
      <formula>#REF!</formula>
    </cfRule>
  </conditionalFormatting>
  <conditionalFormatting sqref="P140">
    <cfRule type="cellIs" dxfId="181" priority="153" stopIfTrue="1" operator="equal">
      <formula>#REF!</formula>
    </cfRule>
  </conditionalFormatting>
  <conditionalFormatting sqref="P140">
    <cfRule type="cellIs" dxfId="180" priority="152" stopIfTrue="1" operator="equal">
      <formula>#REF!</formula>
    </cfRule>
  </conditionalFormatting>
  <conditionalFormatting sqref="P140">
    <cfRule type="cellIs" dxfId="179" priority="151" stopIfTrue="1" operator="equal">
      <formula>#REF!</formula>
    </cfRule>
  </conditionalFormatting>
  <conditionalFormatting sqref="P140">
    <cfRule type="cellIs" dxfId="178" priority="150" stopIfTrue="1" operator="equal">
      <formula>#REF!</formula>
    </cfRule>
  </conditionalFormatting>
  <conditionalFormatting sqref="P140">
    <cfRule type="cellIs" dxfId="177" priority="149" stopIfTrue="1" operator="equal">
      <formula>#REF!</formula>
    </cfRule>
  </conditionalFormatting>
  <conditionalFormatting sqref="P140">
    <cfRule type="cellIs" dxfId="176" priority="148" stopIfTrue="1" operator="equal">
      <formula>#REF!</formula>
    </cfRule>
  </conditionalFormatting>
  <conditionalFormatting sqref="P140">
    <cfRule type="cellIs" dxfId="175" priority="147" stopIfTrue="1" operator="equal">
      <formula>#REF!</formula>
    </cfRule>
  </conditionalFormatting>
  <conditionalFormatting sqref="P140">
    <cfRule type="cellIs" dxfId="174" priority="146" stopIfTrue="1" operator="equal">
      <formula>#REF!</formula>
    </cfRule>
  </conditionalFormatting>
  <conditionalFormatting sqref="P140">
    <cfRule type="cellIs" dxfId="173" priority="145" stopIfTrue="1" operator="equal">
      <formula>#REF!</formula>
    </cfRule>
  </conditionalFormatting>
  <conditionalFormatting sqref="P140">
    <cfRule type="cellIs" dxfId="172" priority="144" stopIfTrue="1" operator="equal">
      <formula>#REF!</formula>
    </cfRule>
  </conditionalFormatting>
  <conditionalFormatting sqref="P140">
    <cfRule type="cellIs" dxfId="171" priority="143" stopIfTrue="1" operator="equal">
      <formula>#REF!</formula>
    </cfRule>
  </conditionalFormatting>
  <conditionalFormatting sqref="O90:O91">
    <cfRule type="cellIs" dxfId="170" priority="138" stopIfTrue="1" operator="equal">
      <formula>#REF!</formula>
    </cfRule>
  </conditionalFormatting>
  <conditionalFormatting sqref="O48:P49">
    <cfRule type="cellIs" dxfId="169" priority="106" stopIfTrue="1" operator="equal">
      <formula>#REF!</formula>
    </cfRule>
  </conditionalFormatting>
  <conditionalFormatting sqref="O67:P67">
    <cfRule type="cellIs" dxfId="168" priority="105" stopIfTrue="1" operator="equal">
      <formula>#REF!</formula>
    </cfRule>
  </conditionalFormatting>
  <conditionalFormatting sqref="P89">
    <cfRule type="cellIs" dxfId="167" priority="95" stopIfTrue="1" operator="equal">
      <formula>#REF!</formula>
    </cfRule>
  </conditionalFormatting>
  <conditionalFormatting sqref="P90">
    <cfRule type="cellIs" dxfId="166" priority="94" stopIfTrue="1" operator="equal">
      <formula>#REF!</formula>
    </cfRule>
  </conditionalFormatting>
  <conditionalFormatting sqref="P91">
    <cfRule type="cellIs" dxfId="165" priority="92" stopIfTrue="1" operator="equal">
      <formula>#REF!</formula>
    </cfRule>
  </conditionalFormatting>
  <conditionalFormatting sqref="P92">
    <cfRule type="cellIs" dxfId="164" priority="91" stopIfTrue="1" operator="equal">
      <formula>#REF!</formula>
    </cfRule>
  </conditionalFormatting>
  <conditionalFormatting sqref="O126:P126">
    <cfRule type="cellIs" dxfId="163" priority="90" stopIfTrue="1" operator="equal">
      <formula>#REF!</formula>
    </cfRule>
  </conditionalFormatting>
  <conditionalFormatting sqref="O126:P126">
    <cfRule type="cellIs" dxfId="162" priority="89" stopIfTrue="1" operator="equal">
      <formula>#REF!</formula>
    </cfRule>
  </conditionalFormatting>
  <conditionalFormatting sqref="O126">
    <cfRule type="cellIs" dxfId="161" priority="81" stopIfTrue="1" operator="equal">
      <formula>#REF!</formula>
    </cfRule>
  </conditionalFormatting>
  <conditionalFormatting sqref="P126">
    <cfRule type="cellIs" dxfId="160" priority="80" stopIfTrue="1" operator="equal">
      <formula>#REF!</formula>
    </cfRule>
  </conditionalFormatting>
  <conditionalFormatting sqref="O101:P101">
    <cfRule type="cellIs" dxfId="159" priority="77" stopIfTrue="1" operator="equal">
      <formula>#REF!</formula>
    </cfRule>
  </conditionalFormatting>
  <conditionalFormatting sqref="O101:P101">
    <cfRule type="cellIs" dxfId="158" priority="76" stopIfTrue="1" operator="equal">
      <formula>#REF!</formula>
    </cfRule>
  </conditionalFormatting>
  <conditionalFormatting sqref="O101">
    <cfRule type="cellIs" dxfId="157" priority="75" stopIfTrue="1" operator="equal">
      <formula>#REF!</formula>
    </cfRule>
  </conditionalFormatting>
  <conditionalFormatting sqref="P101">
    <cfRule type="cellIs" dxfId="156" priority="74" stopIfTrue="1" operator="equal">
      <formula>#REF!</formula>
    </cfRule>
  </conditionalFormatting>
  <conditionalFormatting sqref="O101">
    <cfRule type="cellIs" dxfId="155" priority="64" stopIfTrue="1" operator="equal">
      <formula>#REF!</formula>
    </cfRule>
  </conditionalFormatting>
  <conditionalFormatting sqref="P101">
    <cfRule type="cellIs" dxfId="154" priority="63" stopIfTrue="1" operator="equal">
      <formula>#REF!</formula>
    </cfRule>
  </conditionalFormatting>
  <conditionalFormatting sqref="O101:P101">
    <cfRule type="cellIs" dxfId="153" priority="58" stopIfTrue="1" operator="equal">
      <formula>#REF!</formula>
    </cfRule>
  </conditionalFormatting>
  <conditionalFormatting sqref="O111">
    <cfRule type="cellIs" dxfId="152" priority="53" stopIfTrue="1" operator="equal">
      <formula>#REF!</formula>
    </cfRule>
  </conditionalFormatting>
  <conditionalFormatting sqref="O111">
    <cfRule type="cellIs" dxfId="151" priority="52" stopIfTrue="1" operator="equal">
      <formula>#REF!</formula>
    </cfRule>
  </conditionalFormatting>
  <conditionalFormatting sqref="O111">
    <cfRule type="cellIs" dxfId="150" priority="51" stopIfTrue="1" operator="equal">
      <formula>#REF!</formula>
    </cfRule>
  </conditionalFormatting>
  <conditionalFormatting sqref="O111">
    <cfRule type="cellIs" dxfId="149" priority="50" stopIfTrue="1" operator="equal">
      <formula>#REF!</formula>
    </cfRule>
  </conditionalFormatting>
  <conditionalFormatting sqref="O111">
    <cfRule type="cellIs" dxfId="148" priority="48" stopIfTrue="1" operator="equal">
      <formula>#REF!</formula>
    </cfRule>
  </conditionalFormatting>
  <conditionalFormatting sqref="O111">
    <cfRule type="cellIs" dxfId="147" priority="47" stopIfTrue="1" operator="equal">
      <formula>#REF!</formula>
    </cfRule>
  </conditionalFormatting>
  <conditionalFormatting sqref="O111">
    <cfRule type="cellIs" dxfId="146" priority="45" stopIfTrue="1" operator="equal">
      <formula>#REF!</formula>
    </cfRule>
  </conditionalFormatting>
  <conditionalFormatting sqref="O111">
    <cfRule type="cellIs" dxfId="145" priority="43" stopIfTrue="1" operator="equal">
      <formula>#REF!</formula>
    </cfRule>
  </conditionalFormatting>
  <conditionalFormatting sqref="O102">
    <cfRule type="cellIs" dxfId="144" priority="41" stopIfTrue="1" operator="equal">
      <formula>#REF!</formula>
    </cfRule>
  </conditionalFormatting>
  <conditionalFormatting sqref="O103">
    <cfRule type="cellIs" dxfId="143" priority="40" stopIfTrue="1" operator="equal">
      <formula>#REF!</formula>
    </cfRule>
  </conditionalFormatting>
  <conditionalFormatting sqref="O110">
    <cfRule type="cellIs" dxfId="142" priority="38" stopIfTrue="1" operator="equal">
      <formula>#REF!</formula>
    </cfRule>
  </conditionalFormatting>
  <conditionalFormatting sqref="O87">
    <cfRule type="cellIs" dxfId="141" priority="37" stopIfTrue="1" operator="equal">
      <formula>#REF!</formula>
    </cfRule>
  </conditionalFormatting>
  <conditionalFormatting sqref="P87">
    <cfRule type="cellIs" dxfId="140" priority="30" stopIfTrue="1" operator="equal">
      <formula>#REF!</formula>
    </cfRule>
  </conditionalFormatting>
  <conditionalFormatting sqref="P87">
    <cfRule type="cellIs" dxfId="139" priority="29" stopIfTrue="1" operator="equal">
      <formula>#REF!</formula>
    </cfRule>
  </conditionalFormatting>
  <conditionalFormatting sqref="P87">
    <cfRule type="cellIs" dxfId="138" priority="28" stopIfTrue="1" operator="equal">
      <formula>#REF!</formula>
    </cfRule>
  </conditionalFormatting>
  <conditionalFormatting sqref="P87">
    <cfRule type="cellIs" dxfId="137" priority="27" stopIfTrue="1" operator="equal">
      <formula>#REF!</formula>
    </cfRule>
  </conditionalFormatting>
  <conditionalFormatting sqref="P87">
    <cfRule type="cellIs" dxfId="136" priority="26" stopIfTrue="1" operator="equal">
      <formula>#REF!</formula>
    </cfRule>
  </conditionalFormatting>
  <conditionalFormatting sqref="P87">
    <cfRule type="cellIs" dxfId="135" priority="25" stopIfTrue="1" operator="equal">
      <formula>#REF!</formula>
    </cfRule>
  </conditionalFormatting>
  <conditionalFormatting sqref="P99">
    <cfRule type="cellIs" dxfId="134" priority="24" stopIfTrue="1" operator="equal">
      <formula>#REF!</formula>
    </cfRule>
  </conditionalFormatting>
  <conditionalFormatting sqref="P99">
    <cfRule type="cellIs" dxfId="133" priority="23" stopIfTrue="1" operator="equal">
      <formula>#REF!</formula>
    </cfRule>
  </conditionalFormatting>
  <conditionalFormatting sqref="P99">
    <cfRule type="cellIs" dxfId="132" priority="22" stopIfTrue="1" operator="equal">
      <formula>#REF!</formula>
    </cfRule>
  </conditionalFormatting>
  <conditionalFormatting sqref="P99">
    <cfRule type="cellIs" dxfId="131" priority="21" stopIfTrue="1" operator="equal">
      <formula>#REF!</formula>
    </cfRule>
  </conditionalFormatting>
  <conditionalFormatting sqref="P99">
    <cfRule type="cellIs" dxfId="130" priority="20" stopIfTrue="1" operator="equal">
      <formula>#REF!</formula>
    </cfRule>
  </conditionalFormatting>
  <conditionalFormatting sqref="P99">
    <cfRule type="cellIs" dxfId="129" priority="19" stopIfTrue="1" operator="equal">
      <formula>#REF!</formula>
    </cfRule>
  </conditionalFormatting>
  <conditionalFormatting sqref="P102">
    <cfRule type="cellIs" dxfId="128" priority="18" stopIfTrue="1" operator="equal">
      <formula>#REF!</formula>
    </cfRule>
  </conditionalFormatting>
  <conditionalFormatting sqref="P104:P112">
    <cfRule type="cellIs" dxfId="127" priority="17" stopIfTrue="1" operator="equal">
      <formula>#REF!</formula>
    </cfRule>
  </conditionalFormatting>
  <conditionalFormatting sqref="P114:P118">
    <cfRule type="cellIs" dxfId="126" priority="16" stopIfTrue="1" operator="equal">
      <formula>#REF!</formula>
    </cfRule>
  </conditionalFormatting>
  <conditionalFormatting sqref="P103">
    <cfRule type="cellIs" dxfId="125" priority="15" stopIfTrue="1" operator="equal">
      <formula>#REF!</formula>
    </cfRule>
  </conditionalFormatting>
  <conditionalFormatting sqref="P103">
    <cfRule type="cellIs" dxfId="124" priority="14" stopIfTrue="1" operator="equal">
      <formula>#REF!</formula>
    </cfRule>
  </conditionalFormatting>
  <conditionalFormatting sqref="P103">
    <cfRule type="cellIs" dxfId="123" priority="13" stopIfTrue="1" operator="equal">
      <formula>#REF!</formula>
    </cfRule>
  </conditionalFormatting>
  <conditionalFormatting sqref="P103">
    <cfRule type="cellIs" dxfId="122" priority="12" stopIfTrue="1" operator="equal">
      <formula>#REF!</formula>
    </cfRule>
  </conditionalFormatting>
  <conditionalFormatting sqref="P103">
    <cfRule type="cellIs" dxfId="121" priority="11" stopIfTrue="1" operator="equal">
      <formula>#REF!</formula>
    </cfRule>
  </conditionalFormatting>
  <conditionalFormatting sqref="P119:P120">
    <cfRule type="cellIs" dxfId="120" priority="10" stopIfTrue="1" operator="equal">
      <formula>#REF!</formula>
    </cfRule>
  </conditionalFormatting>
  <conditionalFormatting sqref="P119:P120">
    <cfRule type="cellIs" dxfId="119" priority="9" stopIfTrue="1" operator="equal">
      <formula>#REF!</formula>
    </cfRule>
  </conditionalFormatting>
  <conditionalFormatting sqref="P119:P120">
    <cfRule type="cellIs" dxfId="118" priority="8" stopIfTrue="1" operator="equal">
      <formula>#REF!</formula>
    </cfRule>
  </conditionalFormatting>
  <conditionalFormatting sqref="P119:P120">
    <cfRule type="cellIs" dxfId="117" priority="7" stopIfTrue="1" operator="equal">
      <formula>#REF!</formula>
    </cfRule>
  </conditionalFormatting>
  <conditionalFormatting sqref="P119:P120">
    <cfRule type="cellIs" dxfId="116" priority="6" stopIfTrue="1" operator="equal">
      <formula>#REF!</formula>
    </cfRule>
  </conditionalFormatting>
  <conditionalFormatting sqref="P121:P124">
    <cfRule type="cellIs" dxfId="115" priority="5" stopIfTrue="1" operator="equal">
      <formula>#REF!</formula>
    </cfRule>
  </conditionalFormatting>
  <conditionalFormatting sqref="P121:P124">
    <cfRule type="cellIs" dxfId="114" priority="4" stopIfTrue="1" operator="equal">
      <formula>#REF!</formula>
    </cfRule>
  </conditionalFormatting>
  <conditionalFormatting sqref="P121:P124">
    <cfRule type="cellIs" dxfId="113" priority="3" stopIfTrue="1" operator="equal">
      <formula>#REF!</formula>
    </cfRule>
  </conditionalFormatting>
  <conditionalFormatting sqref="P121:P124">
    <cfRule type="cellIs" dxfId="112" priority="2" stopIfTrue="1" operator="equal">
      <formula>#REF!</formula>
    </cfRule>
  </conditionalFormatting>
  <conditionalFormatting sqref="P121:P124">
    <cfRule type="cellIs" dxfId="111" priority="1" stopIfTrue="1" operator="equal">
      <formula>#REF!</formula>
    </cfRule>
  </conditionalFormatting>
  <dataValidations count="5">
    <dataValidation type="list" allowBlank="1" showInputMessage="1" showErrorMessage="1" sqref="H92:H94 H88:I88 H59:H70 I89:I140 I8:I87">
      <formula1>Etat</formula1>
    </dataValidation>
    <dataValidation type="list" allowBlank="1" showInputMessage="1" showErrorMessage="1" sqref="H71:H87 H89:H91 H95:H140 H8:H58">
      <formula1>"complexe,normale,simple"</formula1>
    </dataValidation>
    <dataValidation type="list" allowBlank="1" showInputMessage="1" showErrorMessage="1" sqref="D8:D140">
      <formula1>Priorité</formula1>
    </dataValidation>
    <dataValidation type="list" allowBlank="1" showInputMessage="1" showErrorMessage="1" sqref="M8:M140">
      <formula1>Conformité</formula1>
    </dataValidation>
    <dataValidation type="list" allowBlank="1" showInputMessage="1" showErrorMessage="1" sqref="G8:G140">
      <formula1>"1,2,3"</formula1>
    </dataValidation>
  </dataValidations>
  <printOptions horizontalCentered="1" verticalCentered="1"/>
  <pageMargins left="0" right="0" top="0.35433070866141736" bottom="0.39370078740157483" header="0.31496062992125984" footer="0.15748031496062992"/>
  <pageSetup paperSize="9" scale="61" orientation="landscape" r:id="rId1"/>
  <headerFooter alignWithMargins="0">
    <oddHeader>&amp;L&amp;G&amp;R
&amp;F</oddHeader>
    <oddFooter>&amp;LRef_Exigences / 1.60 / mars16&amp;CInterne Orange Applications for Business&amp;R&amp;P/&amp;N</oddFooter>
  </headerFooter>
  <legacyDrawing r:id="rId2"/>
  <legacyDrawingHF r:id="rId3"/>
  <extLst>
    <ext xmlns:x14="http://schemas.microsoft.com/office/spreadsheetml/2009/9/main" uri="{78C0D931-6437-407d-A8EE-F0AAD7539E65}">
      <x14:conditionalFormattings>
        <x14:conditionalFormatting xmlns:xm="http://schemas.microsoft.com/office/excel/2006/main">
          <x14:cfRule type="cellIs" priority="473" stopIfTrue="1" operator="equal" id="{8A8D060D-EE7E-4976-8183-60FB61A8F39F}">
            <xm:f>'Fonctionnelle Session'!#REF!</xm:f>
            <x14:dxf>
              <font>
                <condense val="0"/>
                <extend val="0"/>
                <color indexed="9"/>
              </font>
              <fill>
                <patternFill>
                  <bgColor indexed="9"/>
                </patternFill>
              </fill>
            </x14:dxf>
          </x14:cfRule>
          <xm:sqref>O81 O71:P80</xm:sqref>
        </x14:conditionalFormatting>
        <x14:conditionalFormatting xmlns:xm="http://schemas.microsoft.com/office/excel/2006/main">
          <x14:cfRule type="cellIs" priority="472" stopIfTrue="1" operator="equal" id="{8E7A983C-51F0-43AC-B4DA-8218F04A917E}">
            <xm:f>'Fonctionnelle Session'!#REF!</xm:f>
            <x14:dxf>
              <font>
                <condense val="0"/>
                <extend val="0"/>
                <color indexed="9"/>
              </font>
              <fill>
                <patternFill>
                  <bgColor indexed="9"/>
                </patternFill>
              </fill>
            </x14:dxf>
          </x14:cfRule>
          <xm:sqref>O80 O82:O83 O84:P84</xm:sqref>
        </x14:conditionalFormatting>
        <x14:conditionalFormatting xmlns:xm="http://schemas.microsoft.com/office/excel/2006/main">
          <x14:cfRule type="cellIs" priority="471" stopIfTrue="1" operator="equal" id="{B04C4B10-420E-494B-B385-90A436FC5308}">
            <xm:f>'Fonctionnelle Session'!#REF!</xm:f>
            <x14:dxf>
              <font>
                <condense val="0"/>
                <extend val="0"/>
                <color indexed="9"/>
              </font>
              <fill>
                <patternFill>
                  <bgColor indexed="9"/>
                </patternFill>
              </fill>
            </x14:dxf>
          </x14:cfRule>
          <xm:sqref>P84</xm:sqref>
        </x14:conditionalFormatting>
        <x14:conditionalFormatting xmlns:xm="http://schemas.microsoft.com/office/excel/2006/main">
          <x14:cfRule type="cellIs" priority="470" stopIfTrue="1" operator="equal" id="{E39FDBF0-7BFC-44EC-A875-F2F62D221150}">
            <xm:f>'Fonctionnelle Session'!#REF!</xm:f>
            <x14:dxf>
              <font>
                <condense val="0"/>
                <extend val="0"/>
                <color indexed="9"/>
              </font>
              <fill>
                <patternFill>
                  <bgColor indexed="9"/>
                </patternFill>
              </fill>
            </x14:dxf>
          </x14:cfRule>
          <xm:sqref>O83</xm:sqref>
        </x14:conditionalFormatting>
        <x14:conditionalFormatting xmlns:xm="http://schemas.microsoft.com/office/excel/2006/main">
          <x14:cfRule type="cellIs" priority="469" stopIfTrue="1" operator="equal" id="{B48307AA-EF2D-46AF-A827-8A3329E33B5D}">
            <xm:f>'Fonctionnelle Session'!#REF!</xm:f>
            <x14:dxf>
              <font>
                <condense val="0"/>
                <extend val="0"/>
                <color indexed="9"/>
              </font>
              <fill>
                <patternFill>
                  <bgColor indexed="9"/>
                </patternFill>
              </fill>
            </x14:dxf>
          </x14:cfRule>
          <xm:sqref>P83</xm:sqref>
        </x14:conditionalFormatting>
        <x14:conditionalFormatting xmlns:xm="http://schemas.microsoft.com/office/excel/2006/main">
          <x14:cfRule type="cellIs" priority="468" stopIfTrue="1" operator="equal" id="{679642B2-633D-4DB9-A84C-3E91DC36F3B6}">
            <xm:f>'Fonctionnelle Session'!#REF!</xm:f>
            <x14:dxf>
              <font>
                <condense val="0"/>
                <extend val="0"/>
                <color indexed="9"/>
              </font>
              <fill>
                <patternFill>
                  <bgColor indexed="9"/>
                </patternFill>
              </fill>
            </x14:dxf>
          </x14:cfRule>
          <xm:sqref>P81</xm:sqref>
        </x14:conditionalFormatting>
        <x14:conditionalFormatting xmlns:xm="http://schemas.microsoft.com/office/excel/2006/main">
          <x14:cfRule type="cellIs" priority="467" stopIfTrue="1" operator="equal" id="{D10C00D5-9A08-4B04-BA40-5A1F36115442}">
            <xm:f>'Fonctionnelle Session'!#REF!</xm:f>
            <x14:dxf>
              <font>
                <condense val="0"/>
                <extend val="0"/>
                <color indexed="9"/>
              </font>
              <fill>
                <patternFill>
                  <bgColor indexed="9"/>
                </patternFill>
              </fill>
            </x14:dxf>
          </x14:cfRule>
          <xm:sqref>P82</xm:sqref>
        </x14:conditionalFormatting>
        <x14:conditionalFormatting xmlns:xm="http://schemas.microsoft.com/office/excel/2006/main">
          <x14:cfRule type="cellIs" priority="466" stopIfTrue="1" operator="equal" id="{0B46CD45-0785-4A71-B45B-ADFDA98C80A3}">
            <xm:f>'Fonctionnelle Session'!#REF!</xm:f>
            <x14:dxf>
              <font>
                <condense val="0"/>
                <extend val="0"/>
                <color indexed="9"/>
              </font>
              <fill>
                <patternFill>
                  <bgColor indexed="9"/>
                </patternFill>
              </fill>
            </x14:dxf>
          </x14:cfRule>
          <xm:sqref>P82</xm:sqref>
        </x14:conditionalFormatting>
        <x14:conditionalFormatting xmlns:xm="http://schemas.microsoft.com/office/excel/2006/main">
          <x14:cfRule type="cellIs" priority="465" stopIfTrue="1" operator="equal" id="{FEB52816-95F6-43A0-B83F-DB485FB6219C}">
            <xm:f>'Fonctionnelle Session'!#REF!</xm:f>
            <x14:dxf>
              <font>
                <condense val="0"/>
                <extend val="0"/>
                <color indexed="9"/>
              </font>
              <fill>
                <patternFill>
                  <bgColor indexed="9"/>
                </patternFill>
              </fill>
            </x14:dxf>
          </x14:cfRule>
          <xm:sqref>O81</xm:sqref>
        </x14:conditionalFormatting>
        <x14:conditionalFormatting xmlns:xm="http://schemas.microsoft.com/office/excel/2006/main">
          <x14:cfRule type="cellIs" priority="464" stopIfTrue="1" operator="equal" id="{7AC795E1-9B42-40D4-B804-CA928F02839D}">
            <xm:f>'Fonctionnelle Session'!#REF!</xm:f>
            <x14:dxf>
              <font>
                <condense val="0"/>
                <extend val="0"/>
                <color indexed="9"/>
              </font>
              <fill>
                <patternFill>
                  <bgColor indexed="9"/>
                </patternFill>
              </fill>
            </x14:dxf>
          </x14:cfRule>
          <xm:sqref>P81</xm:sqref>
        </x14:conditionalFormatting>
        <x14:conditionalFormatting xmlns:xm="http://schemas.microsoft.com/office/excel/2006/main">
          <x14:cfRule type="cellIs" priority="463" stopIfTrue="1" operator="equal" id="{9EFFF461-680B-44DC-BBC2-59A66619B7AC}">
            <xm:f>'Fonctionnelle Session'!#REF!</xm:f>
            <x14:dxf>
              <font>
                <condense val="0"/>
                <extend val="0"/>
                <color indexed="9"/>
              </font>
              <fill>
                <patternFill>
                  <bgColor indexed="9"/>
                </patternFill>
              </fill>
            </x14:dxf>
          </x14:cfRule>
          <xm:sqref>P79</xm:sqref>
        </x14:conditionalFormatting>
        <x14:conditionalFormatting xmlns:xm="http://schemas.microsoft.com/office/excel/2006/main">
          <x14:cfRule type="cellIs" priority="462" stopIfTrue="1" operator="equal" id="{82867104-53E7-4B5A-A7A3-8B89848431AD}">
            <xm:f>'Fonctionnelle Session'!#REF!</xm:f>
            <x14:dxf>
              <font>
                <condense val="0"/>
                <extend val="0"/>
                <color indexed="9"/>
              </font>
              <fill>
                <patternFill>
                  <bgColor indexed="9"/>
                </patternFill>
              </fill>
            </x14:dxf>
          </x14:cfRule>
          <xm:sqref>P80</xm:sqref>
        </x14:conditionalFormatting>
        <x14:conditionalFormatting xmlns:xm="http://schemas.microsoft.com/office/excel/2006/main">
          <x14:cfRule type="cellIs" priority="461" stopIfTrue="1" operator="equal" id="{7A5139B5-8867-4FAF-9472-4DB8C8B75B73}">
            <xm:f>'Fonctionnelle Session'!#REF!</xm:f>
            <x14:dxf>
              <font>
                <condense val="0"/>
                <extend val="0"/>
                <color indexed="9"/>
              </font>
              <fill>
                <patternFill>
                  <bgColor indexed="9"/>
                </patternFill>
              </fill>
            </x14:dxf>
          </x14:cfRule>
          <xm:sqref>P83</xm:sqref>
        </x14:conditionalFormatting>
        <x14:conditionalFormatting xmlns:xm="http://schemas.microsoft.com/office/excel/2006/main">
          <x14:cfRule type="cellIs" priority="142" stopIfTrue="1" operator="equal" id="{2F2D6444-7C99-4B55-B227-C89393D3FB91}">
            <xm:f>'Fonctionnelle Session'!#REF!</xm:f>
            <x14:dxf>
              <font>
                <condense val="0"/>
                <extend val="0"/>
                <color indexed="9"/>
              </font>
              <fill>
                <patternFill>
                  <bgColor indexed="9"/>
                </patternFill>
              </fill>
            </x14:dxf>
          </x14:cfRule>
          <xm:sqref>O85:P85</xm:sqref>
        </x14:conditionalFormatting>
        <x14:conditionalFormatting xmlns:xm="http://schemas.microsoft.com/office/excel/2006/main">
          <x14:cfRule type="cellIs" priority="141" stopIfTrue="1" operator="equal" id="{91BC0121-F158-421E-BD6A-012C5271EEBD}">
            <xm:f>'Fonctionnelle Session'!#REF!</xm:f>
            <x14:dxf>
              <font>
                <condense val="0"/>
                <extend val="0"/>
                <color indexed="9"/>
              </font>
              <fill>
                <patternFill>
                  <bgColor indexed="9"/>
                </patternFill>
              </fill>
            </x14:dxf>
          </x14:cfRule>
          <xm:sqref>P85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technique" enableFormatConditionsCalculation="0">
    <tabColor indexed="15"/>
    <pageSetUpPr fitToPage="1"/>
  </sheetPr>
  <dimension ref="A1:S59"/>
  <sheetViews>
    <sheetView showGridLines="0" topLeftCell="A30" zoomScaleNormal="100" workbookViewId="0">
      <selection activeCell="C38" sqref="C38"/>
    </sheetView>
  </sheetViews>
  <sheetFormatPr baseColWidth="10" defaultRowHeight="12.75" x14ac:dyDescent="0.2"/>
  <cols>
    <col min="1" max="1" width="4.85546875" style="143" customWidth="1"/>
    <col min="2" max="2" width="30.140625" style="135" customWidth="1"/>
    <col min="3" max="3" width="71.5703125" style="135" customWidth="1"/>
    <col min="4" max="6" width="10.7109375" style="135" customWidth="1"/>
    <col min="7" max="7" width="9.85546875" style="135" bestFit="1" customWidth="1"/>
    <col min="8" max="8" width="10.28515625" style="135" hidden="1" customWidth="1"/>
    <col min="9" max="9" width="10.7109375" style="136" customWidth="1"/>
    <col min="10" max="10" width="13.5703125" style="136" hidden="1" customWidth="1"/>
    <col min="11" max="11" width="12.140625" style="136" hidden="1" customWidth="1"/>
    <col min="12" max="12" width="15.28515625" style="136" hidden="1" customWidth="1"/>
    <col min="13" max="13" width="12.85546875" style="136" hidden="1" customWidth="1"/>
    <col min="14" max="14" width="15.28515625" style="136" hidden="1" customWidth="1"/>
    <col min="15" max="15" width="10.7109375" style="136" hidden="1" customWidth="1"/>
    <col min="16" max="16" width="21.7109375" style="135" customWidth="1"/>
    <col min="17" max="17" width="60.7109375" style="135" customWidth="1"/>
    <col min="19" max="19" width="9.42578125" bestFit="1" customWidth="1"/>
    <col min="20" max="20" width="12" bestFit="1" customWidth="1"/>
    <col min="21" max="21" width="7" customWidth="1"/>
    <col min="22" max="22" width="9" bestFit="1" customWidth="1"/>
  </cols>
  <sheetData>
    <row r="1" spans="1:19" x14ac:dyDescent="0.2">
      <c r="B1" s="190" t="s">
        <v>8</v>
      </c>
      <c r="C1" s="261" t="s">
        <v>65</v>
      </c>
      <c r="D1" s="261"/>
      <c r="E1" s="261"/>
      <c r="F1" s="261"/>
      <c r="G1" s="261"/>
      <c r="H1" s="261"/>
      <c r="I1" s="261"/>
      <c r="J1" s="261"/>
      <c r="K1" s="261"/>
      <c r="L1" s="261"/>
      <c r="M1" s="261"/>
      <c r="N1" s="261"/>
      <c r="O1" s="261"/>
      <c r="P1" s="261"/>
      <c r="Q1" s="261"/>
      <c r="R1" s="261"/>
      <c r="S1" s="261"/>
    </row>
    <row r="2" spans="1:19" ht="12.75" customHeight="1" x14ac:dyDescent="0.2">
      <c r="B2" s="259" t="s">
        <v>41</v>
      </c>
      <c r="C2" s="259"/>
      <c r="D2" s="259"/>
      <c r="E2" s="259"/>
      <c r="F2" s="259"/>
      <c r="G2" s="259"/>
      <c r="H2" s="146"/>
      <c r="I2" s="146"/>
      <c r="J2" s="146"/>
      <c r="K2" s="146"/>
      <c r="L2" s="146"/>
      <c r="M2" s="146"/>
      <c r="N2" s="146"/>
      <c r="O2" s="146"/>
      <c r="P2" s="146"/>
      <c r="Q2" s="146"/>
    </row>
    <row r="3" spans="1:19" x14ac:dyDescent="0.2">
      <c r="B3" s="258" t="s">
        <v>42</v>
      </c>
      <c r="C3" s="258"/>
      <c r="D3" s="258"/>
      <c r="E3" s="258"/>
      <c r="F3" s="258"/>
      <c r="G3" s="258"/>
      <c r="H3" s="258"/>
      <c r="I3" s="258"/>
      <c r="J3" s="258"/>
      <c r="K3" s="258"/>
      <c r="L3" s="258"/>
      <c r="M3" s="149"/>
      <c r="N3" s="149"/>
      <c r="O3" s="149"/>
      <c r="P3" s="147"/>
      <c r="Q3" s="147"/>
    </row>
    <row r="4" spans="1:19" ht="13.5" thickBot="1" x14ac:dyDescent="0.25">
      <c r="B4" s="134"/>
      <c r="C4" s="134"/>
      <c r="D4" s="134"/>
      <c r="E4" s="134"/>
      <c r="F4" s="134"/>
      <c r="G4" s="134"/>
      <c r="H4" s="134"/>
      <c r="I4" s="134"/>
      <c r="J4" s="134"/>
      <c r="K4" s="134"/>
      <c r="L4" s="134"/>
      <c r="M4" s="134"/>
      <c r="N4" s="134"/>
      <c r="O4" s="134"/>
      <c r="P4" s="134"/>
      <c r="Q4" s="134"/>
    </row>
    <row r="5" spans="1:19" s="87" customFormat="1" ht="11.25" x14ac:dyDescent="0.2">
      <c r="A5" s="144"/>
      <c r="B5" s="88" t="s">
        <v>95</v>
      </c>
      <c r="C5" s="89" t="s">
        <v>96</v>
      </c>
      <c r="D5" s="89" t="s">
        <v>97</v>
      </c>
      <c r="E5" s="89"/>
      <c r="F5" s="89"/>
      <c r="G5" s="89"/>
      <c r="H5" s="89"/>
      <c r="I5" s="89"/>
      <c r="J5" s="90"/>
      <c r="K5" s="90"/>
      <c r="L5" s="90"/>
      <c r="M5" s="90"/>
      <c r="N5" s="90"/>
      <c r="O5" s="95"/>
      <c r="P5" s="95"/>
      <c r="Q5" s="96"/>
    </row>
    <row r="6" spans="1:19" s="87" customFormat="1" ht="12" thickBot="1" x14ac:dyDescent="0.25">
      <c r="A6" s="144"/>
      <c r="B6" s="91">
        <f>COUNTA(B8:B1020)</f>
        <v>52</v>
      </c>
      <c r="C6" s="92">
        <f>SUBTOTAL(3,B8:B1020)</f>
        <v>52</v>
      </c>
      <c r="D6" s="93">
        <f>IF(C6=0,0,C6/B6)</f>
        <v>1</v>
      </c>
      <c r="E6" s="93"/>
      <c r="F6" s="93"/>
      <c r="G6" s="92"/>
      <c r="H6" s="92"/>
      <c r="I6" s="92"/>
      <c r="J6" s="94"/>
      <c r="K6" s="94"/>
      <c r="L6" s="94"/>
      <c r="M6" s="99"/>
      <c r="N6" s="99"/>
      <c r="P6" s="98"/>
      <c r="Q6" s="97"/>
    </row>
    <row r="7" spans="1:19" ht="42.75" customHeight="1" thickBot="1" x14ac:dyDescent="0.25">
      <c r="B7" s="11" t="s">
        <v>14</v>
      </c>
      <c r="C7" s="12" t="s">
        <v>13</v>
      </c>
      <c r="D7" s="12" t="s">
        <v>129</v>
      </c>
      <c r="E7" s="12" t="s">
        <v>113</v>
      </c>
      <c r="F7" s="12" t="s">
        <v>102</v>
      </c>
      <c r="G7" s="12" t="s">
        <v>131</v>
      </c>
      <c r="H7" s="12" t="s">
        <v>130</v>
      </c>
      <c r="I7" s="12" t="s">
        <v>111</v>
      </c>
      <c r="J7" s="12" t="s">
        <v>15</v>
      </c>
      <c r="K7" s="12" t="s">
        <v>30</v>
      </c>
      <c r="L7" s="12" t="s">
        <v>123</v>
      </c>
      <c r="M7" s="12" t="s">
        <v>75</v>
      </c>
      <c r="N7" s="12" t="s">
        <v>76</v>
      </c>
      <c r="O7" s="12" t="s">
        <v>133</v>
      </c>
      <c r="P7" s="12" t="s">
        <v>67</v>
      </c>
      <c r="Q7" s="37" t="s">
        <v>132</v>
      </c>
    </row>
    <row r="8" spans="1:19" ht="38.25" x14ac:dyDescent="0.2">
      <c r="A8" s="143">
        <v>1</v>
      </c>
      <c r="B8" s="191" t="s">
        <v>584</v>
      </c>
      <c r="C8" s="202" t="s">
        <v>583</v>
      </c>
      <c r="D8" s="203" t="s">
        <v>16</v>
      </c>
      <c r="E8" s="203"/>
      <c r="F8" s="203" t="s">
        <v>238</v>
      </c>
      <c r="G8" s="203">
        <v>1</v>
      </c>
      <c r="H8" s="203"/>
      <c r="I8" s="204" t="s">
        <v>19</v>
      </c>
      <c r="J8" s="199"/>
      <c r="K8" s="199"/>
      <c r="L8" s="197"/>
      <c r="M8" s="200"/>
      <c r="N8" s="201"/>
      <c r="O8" s="198"/>
      <c r="P8" s="204" t="s">
        <v>903</v>
      </c>
      <c r="Q8" s="179"/>
    </row>
    <row r="9" spans="1:19" ht="25.5" x14ac:dyDescent="0.2">
      <c r="A9" s="143">
        <f>A8+1</f>
        <v>2</v>
      </c>
      <c r="B9" s="192" t="s">
        <v>588</v>
      </c>
      <c r="C9" s="202" t="s">
        <v>587</v>
      </c>
      <c r="D9" s="203" t="s">
        <v>16</v>
      </c>
      <c r="E9" s="203"/>
      <c r="F9" s="203" t="s">
        <v>238</v>
      </c>
      <c r="G9" s="203">
        <v>1</v>
      </c>
      <c r="H9" s="203"/>
      <c r="I9" s="204" t="s">
        <v>19</v>
      </c>
      <c r="J9" s="199"/>
      <c r="K9" s="199"/>
      <c r="L9" s="197"/>
      <c r="M9" s="200"/>
      <c r="N9" s="201"/>
      <c r="O9" s="198"/>
      <c r="P9" s="204" t="s">
        <v>903</v>
      </c>
      <c r="Q9" s="179"/>
    </row>
    <row r="10" spans="1:19" ht="25.5" x14ac:dyDescent="0.2">
      <c r="A10" s="143">
        <f t="shared" ref="A10:A58" si="0">A9+1</f>
        <v>3</v>
      </c>
      <c r="B10" s="192" t="s">
        <v>589</v>
      </c>
      <c r="C10" s="202" t="s">
        <v>591</v>
      </c>
      <c r="D10" s="203" t="s">
        <v>16</v>
      </c>
      <c r="E10" s="203"/>
      <c r="F10" s="203" t="s">
        <v>238</v>
      </c>
      <c r="G10" s="203">
        <v>1</v>
      </c>
      <c r="H10" s="203"/>
      <c r="I10" s="204" t="s">
        <v>19</v>
      </c>
      <c r="J10" s="199"/>
      <c r="K10" s="199"/>
      <c r="L10" s="197"/>
      <c r="M10" s="200"/>
      <c r="N10" s="201"/>
      <c r="O10" s="198"/>
      <c r="P10" s="204" t="s">
        <v>903</v>
      </c>
      <c r="Q10" s="179"/>
    </row>
    <row r="11" spans="1:19" ht="38.25" x14ac:dyDescent="0.2">
      <c r="A11" s="143">
        <f t="shared" si="0"/>
        <v>4</v>
      </c>
      <c r="B11" s="192" t="s">
        <v>594</v>
      </c>
      <c r="C11" s="202" t="s">
        <v>590</v>
      </c>
      <c r="D11" s="203" t="s">
        <v>16</v>
      </c>
      <c r="E11" s="203"/>
      <c r="F11" s="203" t="s">
        <v>238</v>
      </c>
      <c r="G11" s="203">
        <v>1</v>
      </c>
      <c r="H11" s="203"/>
      <c r="I11" s="204" t="s">
        <v>19</v>
      </c>
      <c r="J11" s="199"/>
      <c r="K11" s="199"/>
      <c r="L11" s="197"/>
      <c r="M11" s="200"/>
      <c r="N11" s="201"/>
      <c r="O11" s="198"/>
      <c r="P11" s="204" t="s">
        <v>903</v>
      </c>
      <c r="Q11" s="179"/>
    </row>
    <row r="12" spans="1:19" ht="76.5" x14ac:dyDescent="0.2">
      <c r="A12" s="143">
        <f t="shared" si="0"/>
        <v>5</v>
      </c>
      <c r="B12" s="192" t="s">
        <v>595</v>
      </c>
      <c r="C12" s="202" t="s">
        <v>598</v>
      </c>
      <c r="D12" s="203" t="s">
        <v>16</v>
      </c>
      <c r="E12" s="203"/>
      <c r="F12" s="203" t="s">
        <v>238</v>
      </c>
      <c r="G12" s="203">
        <v>1</v>
      </c>
      <c r="H12" s="203"/>
      <c r="I12" s="204" t="s">
        <v>19</v>
      </c>
      <c r="J12" s="199"/>
      <c r="K12" s="199"/>
      <c r="L12" s="197"/>
      <c r="M12" s="200"/>
      <c r="N12" s="201"/>
      <c r="O12" s="198"/>
      <c r="P12" s="204" t="s">
        <v>903</v>
      </c>
      <c r="Q12" s="164" t="s">
        <v>599</v>
      </c>
    </row>
    <row r="13" spans="1:19" ht="25.5" x14ac:dyDescent="0.2">
      <c r="A13" s="143">
        <f t="shared" si="0"/>
        <v>6</v>
      </c>
      <c r="B13" s="192" t="s">
        <v>596</v>
      </c>
      <c r="C13" s="202" t="s">
        <v>597</v>
      </c>
      <c r="D13" s="203" t="s">
        <v>16</v>
      </c>
      <c r="E13" s="203"/>
      <c r="F13" s="203" t="s">
        <v>238</v>
      </c>
      <c r="G13" s="203">
        <v>1</v>
      </c>
      <c r="H13" s="203"/>
      <c r="I13" s="204" t="s">
        <v>19</v>
      </c>
      <c r="J13" s="199"/>
      <c r="K13" s="199"/>
      <c r="L13" s="197"/>
      <c r="M13" s="200"/>
      <c r="N13" s="201"/>
      <c r="O13" s="198"/>
      <c r="P13" s="204" t="s">
        <v>903</v>
      </c>
      <c r="Q13" s="179"/>
    </row>
    <row r="14" spans="1:19" ht="89.25" x14ac:dyDescent="0.2">
      <c r="A14" s="143">
        <f t="shared" si="0"/>
        <v>7</v>
      </c>
      <c r="B14" s="192" t="s">
        <v>604</v>
      </c>
      <c r="C14" s="202" t="s">
        <v>600</v>
      </c>
      <c r="D14" s="203" t="s">
        <v>16</v>
      </c>
      <c r="E14" s="203"/>
      <c r="F14" s="203" t="s">
        <v>238</v>
      </c>
      <c r="G14" s="203">
        <v>1</v>
      </c>
      <c r="H14" s="203"/>
      <c r="I14" s="204" t="s">
        <v>19</v>
      </c>
      <c r="J14" s="199"/>
      <c r="K14" s="199"/>
      <c r="L14" s="197"/>
      <c r="M14" s="200"/>
      <c r="N14" s="201"/>
      <c r="O14" s="198"/>
      <c r="P14" s="204" t="s">
        <v>903</v>
      </c>
      <c r="Q14" s="179"/>
    </row>
    <row r="15" spans="1:19" ht="38.25" x14ac:dyDescent="0.2">
      <c r="A15" s="143">
        <f t="shared" ref="A15:A59" si="1">A14+1</f>
        <v>8</v>
      </c>
      <c r="B15" s="192" t="s">
        <v>605</v>
      </c>
      <c r="C15" s="202" t="s">
        <v>601</v>
      </c>
      <c r="D15" s="203" t="s">
        <v>16</v>
      </c>
      <c r="E15" s="203"/>
      <c r="F15" s="203" t="s">
        <v>238</v>
      </c>
      <c r="G15" s="203">
        <v>1</v>
      </c>
      <c r="H15" s="203"/>
      <c r="I15" s="204" t="s">
        <v>19</v>
      </c>
      <c r="J15" s="199"/>
      <c r="K15" s="199"/>
      <c r="L15" s="197"/>
      <c r="M15" s="200"/>
      <c r="N15" s="201"/>
      <c r="O15" s="198"/>
      <c r="P15" s="204" t="s">
        <v>903</v>
      </c>
      <c r="Q15" s="179"/>
    </row>
    <row r="16" spans="1:19" ht="25.5" x14ac:dyDescent="0.2">
      <c r="A16" s="143">
        <f t="shared" si="0"/>
        <v>9</v>
      </c>
      <c r="B16" s="192" t="s">
        <v>606</v>
      </c>
      <c r="C16" s="202" t="s">
        <v>602</v>
      </c>
      <c r="D16" s="203" t="s">
        <v>16</v>
      </c>
      <c r="E16" s="203"/>
      <c r="F16" s="203" t="s">
        <v>238</v>
      </c>
      <c r="G16" s="203">
        <v>1</v>
      </c>
      <c r="H16" s="203"/>
      <c r="I16" s="204" t="s">
        <v>19</v>
      </c>
      <c r="J16" s="199"/>
      <c r="K16" s="199"/>
      <c r="L16" s="197"/>
      <c r="M16" s="200"/>
      <c r="N16" s="201"/>
      <c r="O16" s="198"/>
      <c r="P16" s="204" t="s">
        <v>903</v>
      </c>
      <c r="Q16" s="179"/>
    </row>
    <row r="17" spans="1:17" x14ac:dyDescent="0.2">
      <c r="A17" s="143">
        <f t="shared" si="0"/>
        <v>10</v>
      </c>
      <c r="B17" s="192" t="s">
        <v>607</v>
      </c>
      <c r="C17" s="202" t="s">
        <v>603</v>
      </c>
      <c r="D17" s="203" t="s">
        <v>16</v>
      </c>
      <c r="E17" s="203"/>
      <c r="F17" s="203" t="s">
        <v>238</v>
      </c>
      <c r="G17" s="203">
        <v>1</v>
      </c>
      <c r="H17" s="203"/>
      <c r="I17" s="204" t="s">
        <v>19</v>
      </c>
      <c r="J17" s="199"/>
      <c r="K17" s="199"/>
      <c r="L17" s="197"/>
      <c r="M17" s="200"/>
      <c r="N17" s="201"/>
      <c r="O17" s="198"/>
      <c r="P17" s="204" t="s">
        <v>903</v>
      </c>
      <c r="Q17" s="179"/>
    </row>
    <row r="18" spans="1:17" ht="102" x14ac:dyDescent="0.2">
      <c r="A18" s="143">
        <f t="shared" si="0"/>
        <v>11</v>
      </c>
      <c r="B18" s="192" t="s">
        <v>608</v>
      </c>
      <c r="C18" s="202" t="s">
        <v>615</v>
      </c>
      <c r="D18" s="203" t="s">
        <v>16</v>
      </c>
      <c r="E18" s="203"/>
      <c r="F18" s="203" t="s">
        <v>238</v>
      </c>
      <c r="G18" s="203">
        <v>1</v>
      </c>
      <c r="H18" s="203"/>
      <c r="I18" s="204" t="s">
        <v>19</v>
      </c>
      <c r="J18" s="199"/>
      <c r="K18" s="199"/>
      <c r="L18" s="197"/>
      <c r="M18" s="200"/>
      <c r="N18" s="201"/>
      <c r="O18" s="198"/>
      <c r="P18" s="204" t="s">
        <v>903</v>
      </c>
      <c r="Q18" s="179"/>
    </row>
    <row r="19" spans="1:17" ht="63.75" x14ac:dyDescent="0.2">
      <c r="A19" s="143">
        <f t="shared" si="1"/>
        <v>12</v>
      </c>
      <c r="B19" s="192" t="s">
        <v>624</v>
      </c>
      <c r="C19" s="202" t="s">
        <v>625</v>
      </c>
      <c r="D19" s="203" t="s">
        <v>16</v>
      </c>
      <c r="E19" s="203"/>
      <c r="F19" s="203" t="s">
        <v>238</v>
      </c>
      <c r="G19" s="203">
        <v>2</v>
      </c>
      <c r="H19" s="203"/>
      <c r="I19" s="204" t="s">
        <v>19</v>
      </c>
      <c r="J19" s="199"/>
      <c r="K19" s="199"/>
      <c r="L19" s="197"/>
      <c r="M19" s="200"/>
      <c r="N19" s="201"/>
      <c r="O19" s="198"/>
      <c r="P19" s="204" t="s">
        <v>903</v>
      </c>
      <c r="Q19" s="179"/>
    </row>
    <row r="20" spans="1:17" ht="36.75" x14ac:dyDescent="0.2">
      <c r="A20" s="143">
        <f t="shared" si="0"/>
        <v>13</v>
      </c>
      <c r="B20" s="192" t="s">
        <v>823</v>
      </c>
      <c r="C20" s="217" t="s">
        <v>824</v>
      </c>
      <c r="D20" s="218" t="s">
        <v>16</v>
      </c>
      <c r="E20" s="219"/>
      <c r="F20" s="218" t="s">
        <v>238</v>
      </c>
      <c r="G20" s="218">
        <v>1</v>
      </c>
      <c r="H20" s="218"/>
      <c r="I20" s="220" t="s">
        <v>19</v>
      </c>
      <c r="J20" s="221"/>
      <c r="K20" s="221"/>
      <c r="L20" s="217"/>
      <c r="M20" s="222"/>
      <c r="N20" s="223"/>
      <c r="O20" s="218"/>
      <c r="P20" s="220" t="s">
        <v>870</v>
      </c>
      <c r="Q20" s="179"/>
    </row>
    <row r="21" spans="1:17" ht="36.75" x14ac:dyDescent="0.2">
      <c r="A21" s="143">
        <f t="shared" si="0"/>
        <v>14</v>
      </c>
      <c r="B21" s="192" t="s">
        <v>825</v>
      </c>
      <c r="C21" s="217" t="s">
        <v>826</v>
      </c>
      <c r="D21" s="218" t="s">
        <v>16</v>
      </c>
      <c r="E21" s="219"/>
      <c r="F21" s="218" t="s">
        <v>238</v>
      </c>
      <c r="G21" s="218">
        <v>1</v>
      </c>
      <c r="H21" s="218"/>
      <c r="I21" s="220" t="s">
        <v>19</v>
      </c>
      <c r="J21" s="221"/>
      <c r="K21" s="221"/>
      <c r="L21" s="217"/>
      <c r="M21" s="222"/>
      <c r="N21" s="223"/>
      <c r="O21" s="218"/>
      <c r="P21" s="220" t="s">
        <v>871</v>
      </c>
      <c r="Q21" s="179"/>
    </row>
    <row r="22" spans="1:17" x14ac:dyDescent="0.2">
      <c r="A22" s="143">
        <f t="shared" si="0"/>
        <v>15</v>
      </c>
      <c r="B22" s="192" t="s">
        <v>585</v>
      </c>
      <c r="C22" s="151" t="s">
        <v>227</v>
      </c>
      <c r="D22" s="128" t="s">
        <v>16</v>
      </c>
      <c r="E22" s="128"/>
      <c r="F22" s="128" t="s">
        <v>238</v>
      </c>
      <c r="G22" s="128">
        <v>1</v>
      </c>
      <c r="H22" s="128"/>
      <c r="I22" s="129" t="s">
        <v>19</v>
      </c>
      <c r="J22" s="152"/>
      <c r="K22" s="152"/>
      <c r="L22" s="151"/>
      <c r="M22" s="188"/>
      <c r="N22" s="177"/>
      <c r="O22" s="131"/>
      <c r="P22" s="131"/>
      <c r="Q22" s="179"/>
    </row>
    <row r="23" spans="1:17" x14ac:dyDescent="0.2">
      <c r="A23" s="143">
        <f t="shared" si="1"/>
        <v>16</v>
      </c>
      <c r="B23" s="192" t="s">
        <v>586</v>
      </c>
      <c r="C23" s="151" t="s">
        <v>228</v>
      </c>
      <c r="D23" s="128" t="s">
        <v>16</v>
      </c>
      <c r="E23" s="128"/>
      <c r="F23" s="128" t="s">
        <v>238</v>
      </c>
      <c r="G23" s="128">
        <v>1</v>
      </c>
      <c r="H23" s="128"/>
      <c r="I23" s="129" t="s">
        <v>19</v>
      </c>
      <c r="J23" s="152"/>
      <c r="K23" s="152"/>
      <c r="L23" s="151"/>
      <c r="M23" s="188"/>
      <c r="N23" s="177"/>
      <c r="O23" s="131"/>
      <c r="P23" s="131"/>
      <c r="Q23" s="179"/>
    </row>
    <row r="24" spans="1:17" ht="36.75" x14ac:dyDescent="0.2">
      <c r="A24" s="143">
        <f t="shared" si="0"/>
        <v>17</v>
      </c>
      <c r="B24" s="192" t="s">
        <v>894</v>
      </c>
      <c r="C24" s="217" t="s">
        <v>980</v>
      </c>
      <c r="D24" s="218" t="s">
        <v>16</v>
      </c>
      <c r="E24" s="219"/>
      <c r="F24" s="218" t="s">
        <v>914</v>
      </c>
      <c r="G24" s="218">
        <v>1</v>
      </c>
      <c r="H24" s="218"/>
      <c r="I24" s="220" t="s">
        <v>19</v>
      </c>
      <c r="J24" s="221"/>
      <c r="K24" s="221"/>
      <c r="L24" s="217"/>
      <c r="M24" s="222"/>
      <c r="N24" s="223"/>
      <c r="O24" s="218"/>
      <c r="P24" s="220" t="s">
        <v>874</v>
      </c>
      <c r="Q24" s="164" t="s">
        <v>981</v>
      </c>
    </row>
    <row r="25" spans="1:17" ht="25.5" x14ac:dyDescent="0.2">
      <c r="A25" s="143">
        <f t="shared" si="0"/>
        <v>18</v>
      </c>
      <c r="B25" s="192" t="s">
        <v>934</v>
      </c>
      <c r="C25" s="217" t="s">
        <v>935</v>
      </c>
      <c r="D25" s="218" t="s">
        <v>16</v>
      </c>
      <c r="E25" s="219"/>
      <c r="F25" s="218" t="s">
        <v>914</v>
      </c>
      <c r="G25" s="218">
        <v>1</v>
      </c>
      <c r="H25" s="218"/>
      <c r="I25" s="220" t="s">
        <v>19</v>
      </c>
      <c r="J25" s="221"/>
      <c r="K25" s="221"/>
      <c r="L25" s="217"/>
      <c r="M25" s="222"/>
      <c r="N25" s="223"/>
      <c r="O25" s="218"/>
      <c r="P25" s="220"/>
      <c r="Q25" s="215" t="s">
        <v>936</v>
      </c>
    </row>
    <row r="26" spans="1:17" ht="36.75" x14ac:dyDescent="0.2">
      <c r="A26" s="143">
        <f t="shared" si="0"/>
        <v>19</v>
      </c>
      <c r="B26" s="192" t="s">
        <v>827</v>
      </c>
      <c r="C26" s="217" t="s">
        <v>848</v>
      </c>
      <c r="D26" s="218" t="s">
        <v>16</v>
      </c>
      <c r="E26" s="219"/>
      <c r="F26" s="218" t="s">
        <v>238</v>
      </c>
      <c r="G26" s="218">
        <v>1</v>
      </c>
      <c r="H26" s="218"/>
      <c r="I26" s="220" t="s">
        <v>19</v>
      </c>
      <c r="J26" s="221"/>
      <c r="K26" s="221"/>
      <c r="L26" s="217"/>
      <c r="M26" s="222"/>
      <c r="N26" s="223"/>
      <c r="O26" s="218"/>
      <c r="P26" s="220" t="s">
        <v>872</v>
      </c>
      <c r="Q26" s="179"/>
    </row>
    <row r="27" spans="1:17" ht="36.75" x14ac:dyDescent="0.2">
      <c r="A27" s="143">
        <f t="shared" si="1"/>
        <v>20</v>
      </c>
      <c r="B27" s="192" t="s">
        <v>828</v>
      </c>
      <c r="C27" s="217" t="s">
        <v>849</v>
      </c>
      <c r="D27" s="218" t="s">
        <v>16</v>
      </c>
      <c r="E27" s="219"/>
      <c r="F27" s="218" t="s">
        <v>238</v>
      </c>
      <c r="G27" s="218">
        <v>1</v>
      </c>
      <c r="H27" s="218"/>
      <c r="I27" s="220" t="s">
        <v>19</v>
      </c>
      <c r="J27" s="221"/>
      <c r="K27" s="221"/>
      <c r="L27" s="217"/>
      <c r="M27" s="222"/>
      <c r="N27" s="223"/>
      <c r="O27" s="218"/>
      <c r="P27" s="220" t="s">
        <v>873</v>
      </c>
      <c r="Q27" s="179"/>
    </row>
    <row r="28" spans="1:17" ht="36.75" x14ac:dyDescent="0.2">
      <c r="A28" s="143">
        <f t="shared" si="0"/>
        <v>21</v>
      </c>
      <c r="B28" s="192" t="s">
        <v>829</v>
      </c>
      <c r="C28" s="246" t="s">
        <v>850</v>
      </c>
      <c r="D28" s="247" t="s">
        <v>16</v>
      </c>
      <c r="E28" s="247"/>
      <c r="F28" s="247" t="s">
        <v>914</v>
      </c>
      <c r="G28" s="247">
        <v>1</v>
      </c>
      <c r="H28" s="247"/>
      <c r="I28" s="248" t="s">
        <v>20</v>
      </c>
      <c r="J28" s="247"/>
      <c r="K28" s="247"/>
      <c r="L28" s="246"/>
      <c r="M28" s="248"/>
      <c r="N28" s="246"/>
      <c r="O28" s="247"/>
      <c r="P28" s="248" t="s">
        <v>998</v>
      </c>
      <c r="Q28" s="215" t="s">
        <v>926</v>
      </c>
    </row>
    <row r="29" spans="1:17" ht="36.75" x14ac:dyDescent="0.2">
      <c r="A29" s="143">
        <f t="shared" si="0"/>
        <v>22</v>
      </c>
      <c r="B29" s="192" t="s">
        <v>830</v>
      </c>
      <c r="C29" s="246" t="s">
        <v>851</v>
      </c>
      <c r="D29" s="247" t="s">
        <v>16</v>
      </c>
      <c r="E29" s="247"/>
      <c r="F29" s="247" t="s">
        <v>914</v>
      </c>
      <c r="G29" s="247">
        <v>1</v>
      </c>
      <c r="H29" s="247"/>
      <c r="I29" s="248" t="s">
        <v>20</v>
      </c>
      <c r="J29" s="247"/>
      <c r="K29" s="247"/>
      <c r="L29" s="246"/>
      <c r="M29" s="248"/>
      <c r="N29" s="246"/>
      <c r="O29" s="247"/>
      <c r="P29" s="248" t="s">
        <v>999</v>
      </c>
      <c r="Q29" s="215" t="s">
        <v>926</v>
      </c>
    </row>
    <row r="30" spans="1:17" ht="25.5" x14ac:dyDescent="0.2">
      <c r="A30" s="143">
        <f t="shared" si="0"/>
        <v>23</v>
      </c>
      <c r="B30" s="192" t="s">
        <v>593</v>
      </c>
      <c r="C30" s="202" t="s">
        <v>592</v>
      </c>
      <c r="D30" s="203" t="s">
        <v>16</v>
      </c>
      <c r="E30" s="203"/>
      <c r="F30" s="203" t="s">
        <v>238</v>
      </c>
      <c r="G30" s="203">
        <v>1</v>
      </c>
      <c r="H30" s="203"/>
      <c r="I30" s="204" t="s">
        <v>19</v>
      </c>
      <c r="J30" s="199"/>
      <c r="K30" s="199"/>
      <c r="L30" s="197"/>
      <c r="M30" s="200"/>
      <c r="N30" s="201"/>
      <c r="O30" s="198"/>
      <c r="P30" s="204" t="s">
        <v>903</v>
      </c>
      <c r="Q30" s="179"/>
    </row>
    <row r="31" spans="1:17" ht="36.75" x14ac:dyDescent="0.2">
      <c r="A31" s="143">
        <f t="shared" si="1"/>
        <v>24</v>
      </c>
      <c r="B31" s="192" t="s">
        <v>843</v>
      </c>
      <c r="C31" s="224" t="s">
        <v>867</v>
      </c>
      <c r="D31" s="218" t="s">
        <v>16</v>
      </c>
      <c r="E31" s="219"/>
      <c r="F31" s="218" t="s">
        <v>238</v>
      </c>
      <c r="G31" s="218">
        <v>1</v>
      </c>
      <c r="H31" s="218"/>
      <c r="I31" s="220" t="s">
        <v>19</v>
      </c>
      <c r="J31" s="221"/>
      <c r="K31" s="221"/>
      <c r="L31" s="217"/>
      <c r="M31" s="222"/>
      <c r="N31" s="223"/>
      <c r="O31" s="218"/>
      <c r="P31" s="220" t="s">
        <v>891</v>
      </c>
      <c r="Q31" s="179"/>
    </row>
    <row r="32" spans="1:17" ht="36.75" x14ac:dyDescent="0.2">
      <c r="A32" s="143">
        <f t="shared" si="0"/>
        <v>25</v>
      </c>
      <c r="B32" s="192" t="s">
        <v>844</v>
      </c>
      <c r="C32" s="217" t="s">
        <v>923</v>
      </c>
      <c r="D32" s="218" t="s">
        <v>16</v>
      </c>
      <c r="E32" s="219"/>
      <c r="F32" s="218" t="s">
        <v>914</v>
      </c>
      <c r="G32" s="218">
        <v>1</v>
      </c>
      <c r="H32" s="218"/>
      <c r="I32" s="220" t="s">
        <v>900</v>
      </c>
      <c r="J32" s="221"/>
      <c r="K32" s="221"/>
      <c r="L32" s="217"/>
      <c r="M32" s="222"/>
      <c r="N32" s="223"/>
      <c r="O32" s="218"/>
      <c r="P32" s="220" t="s">
        <v>892</v>
      </c>
      <c r="Q32" s="164" t="s">
        <v>924</v>
      </c>
    </row>
    <row r="33" spans="1:17" ht="36.75" x14ac:dyDescent="0.2">
      <c r="A33" s="143">
        <f t="shared" si="0"/>
        <v>26</v>
      </c>
      <c r="B33" s="192" t="s">
        <v>845</v>
      </c>
      <c r="C33" s="246" t="s">
        <v>868</v>
      </c>
      <c r="D33" s="247" t="s">
        <v>16</v>
      </c>
      <c r="E33" s="247"/>
      <c r="F33" s="247" t="s">
        <v>914</v>
      </c>
      <c r="G33" s="247">
        <v>1</v>
      </c>
      <c r="H33" s="247"/>
      <c r="I33" s="248" t="s">
        <v>20</v>
      </c>
      <c r="J33" s="247"/>
      <c r="K33" s="247"/>
      <c r="L33" s="246"/>
      <c r="M33" s="248"/>
      <c r="N33" s="246"/>
      <c r="O33" s="247"/>
      <c r="P33" s="248" t="s">
        <v>1000</v>
      </c>
      <c r="Q33" s="215" t="s">
        <v>925</v>
      </c>
    </row>
    <row r="34" spans="1:17" ht="36.75" x14ac:dyDescent="0.2">
      <c r="A34" s="143">
        <f t="shared" si="0"/>
        <v>27</v>
      </c>
      <c r="B34" s="192" t="s">
        <v>846</v>
      </c>
      <c r="C34" s="224" t="s">
        <v>869</v>
      </c>
      <c r="D34" s="218" t="s">
        <v>16</v>
      </c>
      <c r="E34" s="219"/>
      <c r="F34" s="218" t="s">
        <v>238</v>
      </c>
      <c r="G34" s="218">
        <v>1</v>
      </c>
      <c r="H34" s="218"/>
      <c r="I34" s="220" t="s">
        <v>19</v>
      </c>
      <c r="J34" s="221"/>
      <c r="K34" s="221"/>
      <c r="L34" s="217"/>
      <c r="M34" s="222"/>
      <c r="N34" s="223"/>
      <c r="O34" s="218"/>
      <c r="P34" s="220" t="s">
        <v>893</v>
      </c>
      <c r="Q34" s="179"/>
    </row>
    <row r="35" spans="1:17" ht="38.25" x14ac:dyDescent="0.2">
      <c r="A35" s="143">
        <f t="shared" si="1"/>
        <v>28</v>
      </c>
      <c r="B35" s="192" t="s">
        <v>847</v>
      </c>
      <c r="C35" s="246" t="s">
        <v>969</v>
      </c>
      <c r="D35" s="247" t="s">
        <v>16</v>
      </c>
      <c r="E35" s="247"/>
      <c r="F35" s="247" t="s">
        <v>914</v>
      </c>
      <c r="G35" s="247">
        <v>1</v>
      </c>
      <c r="H35" s="247"/>
      <c r="I35" s="248" t="s">
        <v>20</v>
      </c>
      <c r="J35" s="247"/>
      <c r="K35" s="247"/>
      <c r="L35" s="246"/>
      <c r="M35" s="248"/>
      <c r="N35" s="246"/>
      <c r="O35" s="247"/>
      <c r="P35" s="248" t="s">
        <v>1001</v>
      </c>
      <c r="Q35" s="215" t="s">
        <v>927</v>
      </c>
    </row>
    <row r="36" spans="1:17" ht="25.5" x14ac:dyDescent="0.2">
      <c r="A36" s="143">
        <f t="shared" si="0"/>
        <v>29</v>
      </c>
      <c r="B36" s="192" t="s">
        <v>649</v>
      </c>
      <c r="C36" s="151" t="s">
        <v>765</v>
      </c>
      <c r="D36" s="128" t="s">
        <v>16</v>
      </c>
      <c r="E36" s="128"/>
      <c r="F36" s="128" t="s">
        <v>238</v>
      </c>
      <c r="G36" s="128">
        <v>1</v>
      </c>
      <c r="H36" s="128"/>
      <c r="I36" s="129" t="s">
        <v>19</v>
      </c>
      <c r="J36" s="199"/>
      <c r="K36" s="199"/>
      <c r="L36" s="197"/>
      <c r="M36" s="200"/>
      <c r="N36" s="201"/>
      <c r="O36" s="198"/>
      <c r="P36" s="130" t="s">
        <v>651</v>
      </c>
      <c r="Q36" s="179"/>
    </row>
    <row r="37" spans="1:17" ht="25.5" x14ac:dyDescent="0.2">
      <c r="A37" s="143">
        <f t="shared" si="0"/>
        <v>30</v>
      </c>
      <c r="B37" s="192" t="s">
        <v>652</v>
      </c>
      <c r="C37" s="151" t="s">
        <v>660</v>
      </c>
      <c r="D37" s="128" t="s">
        <v>16</v>
      </c>
      <c r="E37" s="128"/>
      <c r="F37" s="128" t="s">
        <v>238</v>
      </c>
      <c r="G37" s="128">
        <v>1</v>
      </c>
      <c r="H37" s="128"/>
      <c r="I37" s="129" t="s">
        <v>19</v>
      </c>
      <c r="J37" s="199"/>
      <c r="K37" s="199"/>
      <c r="L37" s="197"/>
      <c r="M37" s="200"/>
      <c r="N37" s="201"/>
      <c r="O37" s="198"/>
      <c r="P37" s="130" t="s">
        <v>651</v>
      </c>
      <c r="Q37" s="179"/>
    </row>
    <row r="38" spans="1:17" ht="63.75" x14ac:dyDescent="0.2">
      <c r="A38" s="143">
        <f t="shared" si="0"/>
        <v>31</v>
      </c>
      <c r="B38" s="192" t="s">
        <v>653</v>
      </c>
      <c r="C38" s="151" t="s">
        <v>766</v>
      </c>
      <c r="D38" s="128" t="s">
        <v>16</v>
      </c>
      <c r="E38" s="128"/>
      <c r="F38" s="128" t="s">
        <v>238</v>
      </c>
      <c r="G38" s="128">
        <v>1</v>
      </c>
      <c r="H38" s="128"/>
      <c r="I38" s="129" t="s">
        <v>19</v>
      </c>
      <c r="J38" s="199"/>
      <c r="K38" s="199"/>
      <c r="L38" s="197"/>
      <c r="M38" s="200"/>
      <c r="N38" s="201"/>
      <c r="O38" s="198"/>
      <c r="P38" s="130" t="s">
        <v>651</v>
      </c>
      <c r="Q38" s="179"/>
    </row>
    <row r="39" spans="1:17" ht="63.75" x14ac:dyDescent="0.2">
      <c r="A39" s="143">
        <f t="shared" si="1"/>
        <v>32</v>
      </c>
      <c r="B39" s="192" t="s">
        <v>654</v>
      </c>
      <c r="C39" s="151" t="s">
        <v>650</v>
      </c>
      <c r="D39" s="128" t="s">
        <v>16</v>
      </c>
      <c r="E39" s="128"/>
      <c r="F39" s="128" t="s">
        <v>238</v>
      </c>
      <c r="G39" s="128">
        <v>1</v>
      </c>
      <c r="H39" s="128"/>
      <c r="I39" s="129" t="s">
        <v>19</v>
      </c>
      <c r="J39" s="199"/>
      <c r="K39" s="199"/>
      <c r="L39" s="197"/>
      <c r="M39" s="200"/>
      <c r="N39" s="201"/>
      <c r="O39" s="198"/>
      <c r="P39" s="130" t="s">
        <v>651</v>
      </c>
      <c r="Q39" s="179"/>
    </row>
    <row r="40" spans="1:17" ht="38.25" x14ac:dyDescent="0.2">
      <c r="A40" s="143">
        <f t="shared" si="0"/>
        <v>33</v>
      </c>
      <c r="B40" s="192" t="s">
        <v>656</v>
      </c>
      <c r="C40" s="151" t="s">
        <v>767</v>
      </c>
      <c r="D40" s="128" t="s">
        <v>16</v>
      </c>
      <c r="E40" s="128"/>
      <c r="F40" s="128" t="s">
        <v>238</v>
      </c>
      <c r="G40" s="128">
        <v>1</v>
      </c>
      <c r="H40" s="128"/>
      <c r="I40" s="129" t="s">
        <v>19</v>
      </c>
      <c r="J40" s="199"/>
      <c r="K40" s="199"/>
      <c r="L40" s="197"/>
      <c r="M40" s="200"/>
      <c r="N40" s="201"/>
      <c r="O40" s="198"/>
      <c r="P40" s="130" t="s">
        <v>651</v>
      </c>
      <c r="Q40" s="164" t="s">
        <v>770</v>
      </c>
    </row>
    <row r="41" spans="1:17" ht="38.25" x14ac:dyDescent="0.2">
      <c r="A41" s="143">
        <f t="shared" si="0"/>
        <v>34</v>
      </c>
      <c r="B41" s="192" t="s">
        <v>657</v>
      </c>
      <c r="C41" s="151" t="s">
        <v>768</v>
      </c>
      <c r="D41" s="128" t="s">
        <v>16</v>
      </c>
      <c r="E41" s="128"/>
      <c r="F41" s="128" t="s">
        <v>238</v>
      </c>
      <c r="G41" s="128">
        <v>1</v>
      </c>
      <c r="H41" s="128"/>
      <c r="I41" s="129" t="s">
        <v>19</v>
      </c>
      <c r="J41" s="199"/>
      <c r="K41" s="199"/>
      <c r="L41" s="197"/>
      <c r="M41" s="200"/>
      <c r="N41" s="201"/>
      <c r="O41" s="198"/>
      <c r="P41" s="130" t="s">
        <v>651</v>
      </c>
      <c r="Q41" s="179"/>
    </row>
    <row r="42" spans="1:17" ht="25.5" x14ac:dyDescent="0.2">
      <c r="A42" s="143">
        <f t="shared" si="0"/>
        <v>35</v>
      </c>
      <c r="B42" s="192" t="s">
        <v>658</v>
      </c>
      <c r="C42" s="151" t="s">
        <v>655</v>
      </c>
      <c r="D42" s="128" t="s">
        <v>16</v>
      </c>
      <c r="E42" s="128"/>
      <c r="F42" s="128" t="s">
        <v>238</v>
      </c>
      <c r="G42" s="128">
        <v>1</v>
      </c>
      <c r="H42" s="128"/>
      <c r="I42" s="129" t="s">
        <v>19</v>
      </c>
      <c r="J42" s="199"/>
      <c r="K42" s="199"/>
      <c r="L42" s="197"/>
      <c r="M42" s="200"/>
      <c r="N42" s="201"/>
      <c r="O42" s="198"/>
      <c r="P42" s="130" t="s">
        <v>651</v>
      </c>
      <c r="Q42" s="179"/>
    </row>
    <row r="43" spans="1:17" ht="36.75" x14ac:dyDescent="0.2">
      <c r="A43" s="143">
        <f t="shared" si="1"/>
        <v>36</v>
      </c>
      <c r="B43" s="192" t="s">
        <v>831</v>
      </c>
      <c r="C43" s="217" t="s">
        <v>852</v>
      </c>
      <c r="D43" s="218" t="s">
        <v>16</v>
      </c>
      <c r="E43" s="219"/>
      <c r="F43" s="218" t="s">
        <v>238</v>
      </c>
      <c r="G43" s="218">
        <v>1</v>
      </c>
      <c r="H43" s="218"/>
      <c r="I43" s="220" t="s">
        <v>19</v>
      </c>
      <c r="J43" s="221"/>
      <c r="K43" s="221"/>
      <c r="L43" s="217"/>
      <c r="M43" s="222"/>
      <c r="N43" s="223"/>
      <c r="O43" s="218"/>
      <c r="P43" s="220" t="s">
        <v>875</v>
      </c>
      <c r="Q43" s="179"/>
    </row>
    <row r="44" spans="1:17" ht="36.75" x14ac:dyDescent="0.2">
      <c r="A44" s="143">
        <f t="shared" si="0"/>
        <v>37</v>
      </c>
      <c r="B44" s="192" t="s">
        <v>832</v>
      </c>
      <c r="C44" s="224" t="s">
        <v>853</v>
      </c>
      <c r="D44" s="218" t="s">
        <v>16</v>
      </c>
      <c r="E44" s="219"/>
      <c r="F44" s="218" t="s">
        <v>238</v>
      </c>
      <c r="G44" s="218">
        <v>1</v>
      </c>
      <c r="H44" s="218"/>
      <c r="I44" s="220" t="s">
        <v>19</v>
      </c>
      <c r="J44" s="221"/>
      <c r="K44" s="221"/>
      <c r="L44" s="217"/>
      <c r="M44" s="222"/>
      <c r="N44" s="223"/>
      <c r="O44" s="218"/>
      <c r="P44" s="220" t="s">
        <v>876</v>
      </c>
      <c r="Q44" s="179"/>
    </row>
    <row r="45" spans="1:17" ht="36.75" x14ac:dyDescent="0.2">
      <c r="A45" s="143">
        <f t="shared" si="0"/>
        <v>38</v>
      </c>
      <c r="B45" s="192" t="s">
        <v>833</v>
      </c>
      <c r="C45" s="224" t="s">
        <v>854</v>
      </c>
      <c r="D45" s="218" t="s">
        <v>16</v>
      </c>
      <c r="E45" s="219"/>
      <c r="F45" s="218" t="s">
        <v>238</v>
      </c>
      <c r="G45" s="218">
        <v>1</v>
      </c>
      <c r="H45" s="218"/>
      <c r="I45" s="220" t="s">
        <v>19</v>
      </c>
      <c r="J45" s="221"/>
      <c r="K45" s="221"/>
      <c r="L45" s="217"/>
      <c r="M45" s="222"/>
      <c r="N45" s="223"/>
      <c r="O45" s="218"/>
      <c r="P45" s="220" t="s">
        <v>877</v>
      </c>
      <c r="Q45" s="179"/>
    </row>
    <row r="46" spans="1:17" ht="36.75" x14ac:dyDescent="0.2">
      <c r="A46" s="143">
        <f t="shared" si="0"/>
        <v>39</v>
      </c>
      <c r="B46" s="192" t="s">
        <v>834</v>
      </c>
      <c r="C46" s="224" t="s">
        <v>855</v>
      </c>
      <c r="D46" s="218" t="s">
        <v>16</v>
      </c>
      <c r="E46" s="219"/>
      <c r="F46" s="218" t="s">
        <v>238</v>
      </c>
      <c r="G46" s="218">
        <v>1</v>
      </c>
      <c r="H46" s="218"/>
      <c r="I46" s="220" t="s">
        <v>19</v>
      </c>
      <c r="J46" s="221"/>
      <c r="K46" s="221"/>
      <c r="L46" s="217"/>
      <c r="M46" s="222"/>
      <c r="N46" s="223"/>
      <c r="O46" s="218"/>
      <c r="P46" s="220" t="s">
        <v>878</v>
      </c>
      <c r="Q46" s="179"/>
    </row>
    <row r="47" spans="1:17" ht="36.75" x14ac:dyDescent="0.2">
      <c r="A47" s="143">
        <f t="shared" si="1"/>
        <v>40</v>
      </c>
      <c r="B47" s="192" t="s">
        <v>835</v>
      </c>
      <c r="C47" s="224" t="s">
        <v>856</v>
      </c>
      <c r="D47" s="218" t="s">
        <v>16</v>
      </c>
      <c r="E47" s="219"/>
      <c r="F47" s="218" t="s">
        <v>238</v>
      </c>
      <c r="G47" s="218">
        <v>1</v>
      </c>
      <c r="H47" s="218"/>
      <c r="I47" s="220" t="s">
        <v>19</v>
      </c>
      <c r="J47" s="221"/>
      <c r="K47" s="221"/>
      <c r="L47" s="217"/>
      <c r="M47" s="222"/>
      <c r="N47" s="223"/>
      <c r="O47" s="218"/>
      <c r="P47" s="220" t="s">
        <v>879</v>
      </c>
      <c r="Q47" s="179"/>
    </row>
    <row r="48" spans="1:17" ht="36.75" x14ac:dyDescent="0.2">
      <c r="A48" s="143">
        <f t="shared" si="0"/>
        <v>41</v>
      </c>
      <c r="B48" s="192" t="s">
        <v>836</v>
      </c>
      <c r="C48" s="224" t="s">
        <v>857</v>
      </c>
      <c r="D48" s="218" t="s">
        <v>16</v>
      </c>
      <c r="E48" s="219"/>
      <c r="F48" s="218" t="s">
        <v>238</v>
      </c>
      <c r="G48" s="218">
        <v>1</v>
      </c>
      <c r="H48" s="218"/>
      <c r="I48" s="220" t="s">
        <v>19</v>
      </c>
      <c r="J48" s="221"/>
      <c r="K48" s="221"/>
      <c r="L48" s="217"/>
      <c r="M48" s="222"/>
      <c r="N48" s="223"/>
      <c r="O48" s="218"/>
      <c r="P48" s="220" t="s">
        <v>880</v>
      </c>
      <c r="Q48" s="179"/>
    </row>
    <row r="49" spans="1:17" ht="36.75" x14ac:dyDescent="0.2">
      <c r="A49" s="143">
        <f t="shared" si="0"/>
        <v>42</v>
      </c>
      <c r="B49" s="192" t="s">
        <v>837</v>
      </c>
      <c r="C49" s="224" t="s">
        <v>858</v>
      </c>
      <c r="D49" s="218" t="s">
        <v>16</v>
      </c>
      <c r="E49" s="219"/>
      <c r="F49" s="218" t="s">
        <v>238</v>
      </c>
      <c r="G49" s="218">
        <v>1</v>
      </c>
      <c r="H49" s="218"/>
      <c r="I49" s="220" t="s">
        <v>19</v>
      </c>
      <c r="J49" s="221"/>
      <c r="K49" s="221"/>
      <c r="L49" s="217"/>
      <c r="M49" s="222"/>
      <c r="N49" s="223"/>
      <c r="O49" s="218"/>
      <c r="P49" s="220" t="s">
        <v>881</v>
      </c>
      <c r="Q49" s="179"/>
    </row>
    <row r="50" spans="1:17" ht="36.75" x14ac:dyDescent="0.2">
      <c r="A50" s="143">
        <f t="shared" si="0"/>
        <v>43</v>
      </c>
      <c r="B50" s="192" t="s">
        <v>838</v>
      </c>
      <c r="C50" s="224" t="s">
        <v>859</v>
      </c>
      <c r="D50" s="218" t="s">
        <v>16</v>
      </c>
      <c r="E50" s="219"/>
      <c r="F50" s="218" t="s">
        <v>238</v>
      </c>
      <c r="G50" s="218">
        <v>1</v>
      </c>
      <c r="H50" s="218"/>
      <c r="I50" s="220" t="s">
        <v>19</v>
      </c>
      <c r="J50" s="221"/>
      <c r="K50" s="221"/>
      <c r="L50" s="217"/>
      <c r="M50" s="222"/>
      <c r="N50" s="223"/>
      <c r="O50" s="218"/>
      <c r="P50" s="220" t="s">
        <v>882</v>
      </c>
      <c r="Q50" s="179"/>
    </row>
    <row r="51" spans="1:17" ht="36.75" x14ac:dyDescent="0.2">
      <c r="A51" s="143">
        <f t="shared" si="1"/>
        <v>44</v>
      </c>
      <c r="B51" s="192" t="s">
        <v>839</v>
      </c>
      <c r="C51" s="224" t="s">
        <v>860</v>
      </c>
      <c r="D51" s="218" t="s">
        <v>16</v>
      </c>
      <c r="E51" s="219"/>
      <c r="F51" s="218" t="s">
        <v>238</v>
      </c>
      <c r="G51" s="218">
        <v>1</v>
      </c>
      <c r="H51" s="218"/>
      <c r="I51" s="220" t="s">
        <v>19</v>
      </c>
      <c r="J51" s="221"/>
      <c r="K51" s="221"/>
      <c r="L51" s="217"/>
      <c r="M51" s="222"/>
      <c r="N51" s="223"/>
      <c r="O51" s="218"/>
      <c r="P51" s="220" t="s">
        <v>883</v>
      </c>
      <c r="Q51" s="179"/>
    </row>
    <row r="52" spans="1:17" ht="36.75" x14ac:dyDescent="0.2">
      <c r="A52" s="143">
        <f t="shared" si="0"/>
        <v>45</v>
      </c>
      <c r="B52" s="192" t="s">
        <v>840</v>
      </c>
      <c r="C52" s="224" t="s">
        <v>861</v>
      </c>
      <c r="D52" s="218" t="s">
        <v>16</v>
      </c>
      <c r="E52" s="219"/>
      <c r="F52" s="218" t="s">
        <v>238</v>
      </c>
      <c r="G52" s="218">
        <v>1</v>
      </c>
      <c r="H52" s="218"/>
      <c r="I52" s="220" t="s">
        <v>19</v>
      </c>
      <c r="J52" s="221"/>
      <c r="K52" s="221"/>
      <c r="L52" s="217"/>
      <c r="M52" s="222"/>
      <c r="N52" s="223"/>
      <c r="O52" s="218"/>
      <c r="P52" s="220" t="s">
        <v>884</v>
      </c>
      <c r="Q52" s="179"/>
    </row>
    <row r="53" spans="1:17" ht="36.75" x14ac:dyDescent="0.2">
      <c r="A53" s="143">
        <f t="shared" si="0"/>
        <v>46</v>
      </c>
      <c r="B53" s="192" t="s">
        <v>841</v>
      </c>
      <c r="C53" s="224" t="s">
        <v>862</v>
      </c>
      <c r="D53" s="218" t="s">
        <v>16</v>
      </c>
      <c r="E53" s="219"/>
      <c r="F53" s="218" t="s">
        <v>238</v>
      </c>
      <c r="G53" s="218">
        <v>1</v>
      </c>
      <c r="H53" s="218"/>
      <c r="I53" s="220" t="s">
        <v>19</v>
      </c>
      <c r="J53" s="221"/>
      <c r="K53" s="221"/>
      <c r="L53" s="217"/>
      <c r="M53" s="222"/>
      <c r="N53" s="223"/>
      <c r="O53" s="218"/>
      <c r="P53" s="220" t="s">
        <v>885</v>
      </c>
      <c r="Q53" s="179"/>
    </row>
    <row r="54" spans="1:17" ht="36.75" x14ac:dyDescent="0.2">
      <c r="A54" s="143">
        <f t="shared" si="0"/>
        <v>47</v>
      </c>
      <c r="B54" s="192" t="s">
        <v>842</v>
      </c>
      <c r="C54" s="224" t="s">
        <v>863</v>
      </c>
      <c r="D54" s="218" t="s">
        <v>16</v>
      </c>
      <c r="E54" s="219"/>
      <c r="F54" s="218" t="s">
        <v>238</v>
      </c>
      <c r="G54" s="218">
        <v>1</v>
      </c>
      <c r="H54" s="218"/>
      <c r="I54" s="220" t="s">
        <v>19</v>
      </c>
      <c r="J54" s="221"/>
      <c r="K54" s="221"/>
      <c r="L54" s="217"/>
      <c r="M54" s="222"/>
      <c r="N54" s="223"/>
      <c r="O54" s="218"/>
      <c r="P54" s="220" t="s">
        <v>886</v>
      </c>
      <c r="Q54" s="179"/>
    </row>
    <row r="55" spans="1:17" ht="36.75" x14ac:dyDescent="0.2">
      <c r="A55" s="143">
        <f t="shared" si="1"/>
        <v>48</v>
      </c>
      <c r="B55" s="192" t="s">
        <v>895</v>
      </c>
      <c r="C55" s="224" t="s">
        <v>864</v>
      </c>
      <c r="D55" s="218" t="s">
        <v>16</v>
      </c>
      <c r="E55" s="219"/>
      <c r="F55" s="218" t="s">
        <v>238</v>
      </c>
      <c r="G55" s="218">
        <v>1</v>
      </c>
      <c r="H55" s="218"/>
      <c r="I55" s="220" t="s">
        <v>19</v>
      </c>
      <c r="J55" s="221"/>
      <c r="K55" s="221"/>
      <c r="L55" s="217"/>
      <c r="M55" s="222"/>
      <c r="N55" s="223"/>
      <c r="O55" s="218"/>
      <c r="P55" s="220" t="s">
        <v>887</v>
      </c>
      <c r="Q55" s="179"/>
    </row>
    <row r="56" spans="1:17" ht="36.75" x14ac:dyDescent="0.2">
      <c r="A56" s="143">
        <f t="shared" si="0"/>
        <v>49</v>
      </c>
      <c r="B56" s="192" t="s">
        <v>896</v>
      </c>
      <c r="C56" s="224" t="s">
        <v>865</v>
      </c>
      <c r="D56" s="218" t="s">
        <v>16</v>
      </c>
      <c r="E56" s="219"/>
      <c r="F56" s="218" t="s">
        <v>238</v>
      </c>
      <c r="G56" s="218">
        <v>1</v>
      </c>
      <c r="H56" s="218"/>
      <c r="I56" s="220" t="s">
        <v>19</v>
      </c>
      <c r="J56" s="221"/>
      <c r="K56" s="221"/>
      <c r="L56" s="217"/>
      <c r="M56" s="222"/>
      <c r="N56" s="223"/>
      <c r="O56" s="218"/>
      <c r="P56" s="220" t="s">
        <v>888</v>
      </c>
      <c r="Q56" s="179"/>
    </row>
    <row r="57" spans="1:17" ht="36.75" x14ac:dyDescent="0.2">
      <c r="A57" s="143">
        <f t="shared" si="0"/>
        <v>50</v>
      </c>
      <c r="B57" s="192" t="s">
        <v>897</v>
      </c>
      <c r="C57" s="224" t="s">
        <v>866</v>
      </c>
      <c r="D57" s="218" t="s">
        <v>16</v>
      </c>
      <c r="E57" s="219"/>
      <c r="F57" s="218" t="s">
        <v>238</v>
      </c>
      <c r="G57" s="218">
        <v>1</v>
      </c>
      <c r="H57" s="218"/>
      <c r="I57" s="220" t="s">
        <v>19</v>
      </c>
      <c r="J57" s="221"/>
      <c r="K57" s="221"/>
      <c r="L57" s="217"/>
      <c r="M57" s="222"/>
      <c r="N57" s="223"/>
      <c r="O57" s="218"/>
      <c r="P57" s="220" t="s">
        <v>889</v>
      </c>
      <c r="Q57" s="179"/>
    </row>
    <row r="58" spans="1:17" ht="36.75" x14ac:dyDescent="0.2">
      <c r="A58" s="143">
        <f t="shared" si="0"/>
        <v>51</v>
      </c>
      <c r="B58" s="192" t="s">
        <v>898</v>
      </c>
      <c r="C58" s="217" t="s">
        <v>952</v>
      </c>
      <c r="D58" s="218" t="s">
        <v>16</v>
      </c>
      <c r="E58" s="219"/>
      <c r="F58" s="218" t="s">
        <v>914</v>
      </c>
      <c r="G58" s="218">
        <v>1</v>
      </c>
      <c r="H58" s="218"/>
      <c r="I58" s="220" t="s">
        <v>900</v>
      </c>
      <c r="J58" s="221"/>
      <c r="K58" s="221"/>
      <c r="L58" s="217"/>
      <c r="M58" s="222"/>
      <c r="N58" s="223"/>
      <c r="O58" s="218"/>
      <c r="P58" s="220" t="s">
        <v>890</v>
      </c>
      <c r="Q58" s="179"/>
    </row>
    <row r="59" spans="1:17" ht="36.75" x14ac:dyDescent="0.2">
      <c r="A59" s="143">
        <f t="shared" si="1"/>
        <v>52</v>
      </c>
      <c r="B59" s="192" t="s">
        <v>899</v>
      </c>
      <c r="C59" s="246" t="s">
        <v>922</v>
      </c>
      <c r="D59" s="247" t="s">
        <v>16</v>
      </c>
      <c r="E59" s="247"/>
      <c r="F59" s="247" t="s">
        <v>914</v>
      </c>
      <c r="G59" s="247">
        <v>1</v>
      </c>
      <c r="H59" s="247"/>
      <c r="I59" s="248" t="s">
        <v>20</v>
      </c>
      <c r="J59" s="247"/>
      <c r="K59" s="247"/>
      <c r="L59" s="246"/>
      <c r="M59" s="248"/>
      <c r="N59" s="246"/>
      <c r="O59" s="247"/>
      <c r="P59" s="248" t="s">
        <v>997</v>
      </c>
      <c r="Q59" s="215" t="s">
        <v>970</v>
      </c>
    </row>
  </sheetData>
  <autoFilter ref="A7:S59"/>
  <mergeCells count="3">
    <mergeCell ref="C1:S1"/>
    <mergeCell ref="B3:L3"/>
    <mergeCell ref="B2:G2"/>
  </mergeCells>
  <phoneticPr fontId="6" type="noConversion"/>
  <conditionalFormatting sqref="O8:O9 O12 O19 O20:P29 O43:P59">
    <cfRule type="cellIs" dxfId="95" priority="125" stopIfTrue="1" operator="equal">
      <formula>#REF!</formula>
    </cfRule>
  </conditionalFormatting>
  <conditionalFormatting sqref="O10">
    <cfRule type="cellIs" dxfId="94" priority="120" stopIfTrue="1" operator="equal">
      <formula>#REF!</formula>
    </cfRule>
  </conditionalFormatting>
  <conditionalFormatting sqref="O11">
    <cfRule type="cellIs" dxfId="93" priority="117" stopIfTrue="1" operator="equal">
      <formula>#REF!</formula>
    </cfRule>
  </conditionalFormatting>
  <conditionalFormatting sqref="O30">
    <cfRule type="cellIs" dxfId="92" priority="114" stopIfTrue="1" operator="equal">
      <formula>#REF!</formula>
    </cfRule>
  </conditionalFormatting>
  <conditionalFormatting sqref="O13">
    <cfRule type="cellIs" dxfId="91" priority="109" stopIfTrue="1" operator="equal">
      <formula>#REF!</formula>
    </cfRule>
  </conditionalFormatting>
  <conditionalFormatting sqref="O14">
    <cfRule type="cellIs" dxfId="90" priority="106" stopIfTrue="1" operator="equal">
      <formula>#REF!</formula>
    </cfRule>
  </conditionalFormatting>
  <conditionalFormatting sqref="O15">
    <cfRule type="cellIs" dxfId="89" priority="103" stopIfTrue="1" operator="equal">
      <formula>#REF!</formula>
    </cfRule>
  </conditionalFormatting>
  <conditionalFormatting sqref="O16">
    <cfRule type="cellIs" dxfId="88" priority="100" stopIfTrue="1" operator="equal">
      <formula>#REF!</formula>
    </cfRule>
  </conditionalFormatting>
  <conditionalFormatting sqref="O17">
    <cfRule type="cellIs" dxfId="87" priority="97" stopIfTrue="1" operator="equal">
      <formula>#REF!</formula>
    </cfRule>
  </conditionalFormatting>
  <conditionalFormatting sqref="O18">
    <cfRule type="cellIs" dxfId="86" priority="94" stopIfTrue="1" operator="equal">
      <formula>#REF!</formula>
    </cfRule>
  </conditionalFormatting>
  <conditionalFormatting sqref="O36:O42">
    <cfRule type="cellIs" dxfId="85" priority="83" stopIfTrue="1" operator="equal">
      <formula>#REF!</formula>
    </cfRule>
  </conditionalFormatting>
  <conditionalFormatting sqref="P36:P42">
    <cfRule type="cellIs" dxfId="84" priority="80" stopIfTrue="1" operator="equal">
      <formula>#REF!</formula>
    </cfRule>
  </conditionalFormatting>
  <conditionalFormatting sqref="O31:P35">
    <cfRule type="cellIs" dxfId="83" priority="79" stopIfTrue="1" operator="equal">
      <formula>#REF!</formula>
    </cfRule>
  </conditionalFormatting>
  <conditionalFormatting sqref="P8">
    <cfRule type="cellIs" dxfId="82" priority="78" stopIfTrue="1" operator="equal">
      <formula>#REF!</formula>
    </cfRule>
  </conditionalFormatting>
  <conditionalFormatting sqref="P8">
    <cfRule type="cellIs" dxfId="81" priority="77" stopIfTrue="1" operator="equal">
      <formula>#REF!</formula>
    </cfRule>
  </conditionalFormatting>
  <conditionalFormatting sqref="P8">
    <cfRule type="cellIs" dxfId="80" priority="76" stopIfTrue="1" operator="equal">
      <formula>#REF!</formula>
    </cfRule>
  </conditionalFormatting>
  <conditionalFormatting sqref="P8">
    <cfRule type="cellIs" dxfId="79" priority="75" stopIfTrue="1" operator="equal">
      <formula>#REF!</formula>
    </cfRule>
  </conditionalFormatting>
  <conditionalFormatting sqref="P8">
    <cfRule type="cellIs" dxfId="78" priority="74" stopIfTrue="1" operator="equal">
      <formula>#REF!</formula>
    </cfRule>
  </conditionalFormatting>
  <conditionalFormatting sqref="P8">
    <cfRule type="cellIs" dxfId="77" priority="73" stopIfTrue="1" operator="equal">
      <formula>#REF!</formula>
    </cfRule>
  </conditionalFormatting>
  <conditionalFormatting sqref="P9">
    <cfRule type="cellIs" dxfId="76" priority="72" stopIfTrue="1" operator="equal">
      <formula>#REF!</formula>
    </cfRule>
  </conditionalFormatting>
  <conditionalFormatting sqref="P9">
    <cfRule type="cellIs" dxfId="75" priority="71" stopIfTrue="1" operator="equal">
      <formula>#REF!</formula>
    </cfRule>
  </conditionalFormatting>
  <conditionalFormatting sqref="P9">
    <cfRule type="cellIs" dxfId="74" priority="70" stopIfTrue="1" operator="equal">
      <formula>#REF!</formula>
    </cfRule>
  </conditionalFormatting>
  <conditionalFormatting sqref="P9">
    <cfRule type="cellIs" dxfId="73" priority="69" stopIfTrue="1" operator="equal">
      <formula>#REF!</formula>
    </cfRule>
  </conditionalFormatting>
  <conditionalFormatting sqref="P9">
    <cfRule type="cellIs" dxfId="72" priority="68" stopIfTrue="1" operator="equal">
      <formula>#REF!</formula>
    </cfRule>
  </conditionalFormatting>
  <conditionalFormatting sqref="P9">
    <cfRule type="cellIs" dxfId="71" priority="67" stopIfTrue="1" operator="equal">
      <formula>#REF!</formula>
    </cfRule>
  </conditionalFormatting>
  <conditionalFormatting sqref="P10">
    <cfRule type="cellIs" dxfId="70" priority="66" stopIfTrue="1" operator="equal">
      <formula>#REF!</formula>
    </cfRule>
  </conditionalFormatting>
  <conditionalFormatting sqref="P10">
    <cfRule type="cellIs" dxfId="69" priority="65" stopIfTrue="1" operator="equal">
      <formula>#REF!</formula>
    </cfRule>
  </conditionalFormatting>
  <conditionalFormatting sqref="P10">
    <cfRule type="cellIs" dxfId="68" priority="64" stopIfTrue="1" operator="equal">
      <formula>#REF!</formula>
    </cfRule>
  </conditionalFormatting>
  <conditionalFormatting sqref="P10">
    <cfRule type="cellIs" dxfId="67" priority="63" stopIfTrue="1" operator="equal">
      <formula>#REF!</formula>
    </cfRule>
  </conditionalFormatting>
  <conditionalFormatting sqref="P10">
    <cfRule type="cellIs" dxfId="66" priority="62" stopIfTrue="1" operator="equal">
      <formula>#REF!</formula>
    </cfRule>
  </conditionalFormatting>
  <conditionalFormatting sqref="P10">
    <cfRule type="cellIs" dxfId="65" priority="61" stopIfTrue="1" operator="equal">
      <formula>#REF!</formula>
    </cfRule>
  </conditionalFormatting>
  <conditionalFormatting sqref="P11">
    <cfRule type="cellIs" dxfId="64" priority="60" stopIfTrue="1" operator="equal">
      <formula>#REF!</formula>
    </cfRule>
  </conditionalFormatting>
  <conditionalFormatting sqref="P11">
    <cfRule type="cellIs" dxfId="63" priority="59" stopIfTrue="1" operator="equal">
      <formula>#REF!</formula>
    </cfRule>
  </conditionalFormatting>
  <conditionalFormatting sqref="P11">
    <cfRule type="cellIs" dxfId="62" priority="58" stopIfTrue="1" operator="equal">
      <formula>#REF!</formula>
    </cfRule>
  </conditionalFormatting>
  <conditionalFormatting sqref="P11">
    <cfRule type="cellIs" dxfId="61" priority="57" stopIfTrue="1" operator="equal">
      <formula>#REF!</formula>
    </cfRule>
  </conditionalFormatting>
  <conditionalFormatting sqref="P11">
    <cfRule type="cellIs" dxfId="60" priority="56" stopIfTrue="1" operator="equal">
      <formula>#REF!</formula>
    </cfRule>
  </conditionalFormatting>
  <conditionalFormatting sqref="P11">
    <cfRule type="cellIs" dxfId="59" priority="55" stopIfTrue="1" operator="equal">
      <formula>#REF!</formula>
    </cfRule>
  </conditionalFormatting>
  <conditionalFormatting sqref="P12">
    <cfRule type="cellIs" dxfId="58" priority="54" stopIfTrue="1" operator="equal">
      <formula>#REF!</formula>
    </cfRule>
  </conditionalFormatting>
  <conditionalFormatting sqref="P12">
    <cfRule type="cellIs" dxfId="57" priority="53" stopIfTrue="1" operator="equal">
      <formula>#REF!</formula>
    </cfRule>
  </conditionalFormatting>
  <conditionalFormatting sqref="P12">
    <cfRule type="cellIs" dxfId="56" priority="52" stopIfTrue="1" operator="equal">
      <formula>#REF!</formula>
    </cfRule>
  </conditionalFormatting>
  <conditionalFormatting sqref="P12">
    <cfRule type="cellIs" dxfId="55" priority="51" stopIfTrue="1" operator="equal">
      <formula>#REF!</formula>
    </cfRule>
  </conditionalFormatting>
  <conditionalFormatting sqref="P12">
    <cfRule type="cellIs" dxfId="54" priority="50" stopIfTrue="1" operator="equal">
      <formula>#REF!</formula>
    </cfRule>
  </conditionalFormatting>
  <conditionalFormatting sqref="P12">
    <cfRule type="cellIs" dxfId="53" priority="49" stopIfTrue="1" operator="equal">
      <formula>#REF!</formula>
    </cfRule>
  </conditionalFormatting>
  <conditionalFormatting sqref="P13">
    <cfRule type="cellIs" dxfId="52" priority="48" stopIfTrue="1" operator="equal">
      <formula>#REF!</formula>
    </cfRule>
  </conditionalFormatting>
  <conditionalFormatting sqref="P13">
    <cfRule type="cellIs" dxfId="51" priority="47" stopIfTrue="1" operator="equal">
      <formula>#REF!</formula>
    </cfRule>
  </conditionalFormatting>
  <conditionalFormatting sqref="P13">
    <cfRule type="cellIs" dxfId="50" priority="46" stopIfTrue="1" operator="equal">
      <formula>#REF!</formula>
    </cfRule>
  </conditionalFormatting>
  <conditionalFormatting sqref="P13">
    <cfRule type="cellIs" dxfId="49" priority="45" stopIfTrue="1" operator="equal">
      <formula>#REF!</formula>
    </cfRule>
  </conditionalFormatting>
  <conditionalFormatting sqref="P13">
    <cfRule type="cellIs" dxfId="48" priority="44" stopIfTrue="1" operator="equal">
      <formula>#REF!</formula>
    </cfRule>
  </conditionalFormatting>
  <conditionalFormatting sqref="P13">
    <cfRule type="cellIs" dxfId="47" priority="43" stopIfTrue="1" operator="equal">
      <formula>#REF!</formula>
    </cfRule>
  </conditionalFormatting>
  <conditionalFormatting sqref="P14">
    <cfRule type="cellIs" dxfId="46" priority="42" stopIfTrue="1" operator="equal">
      <formula>#REF!</formula>
    </cfRule>
  </conditionalFormatting>
  <conditionalFormatting sqref="P14">
    <cfRule type="cellIs" dxfId="45" priority="41" stopIfTrue="1" operator="equal">
      <formula>#REF!</formula>
    </cfRule>
  </conditionalFormatting>
  <conditionalFormatting sqref="P14">
    <cfRule type="cellIs" dxfId="44" priority="40" stopIfTrue="1" operator="equal">
      <formula>#REF!</formula>
    </cfRule>
  </conditionalFormatting>
  <conditionalFormatting sqref="P14">
    <cfRule type="cellIs" dxfId="43" priority="39" stopIfTrue="1" operator="equal">
      <formula>#REF!</formula>
    </cfRule>
  </conditionalFormatting>
  <conditionalFormatting sqref="P14">
    <cfRule type="cellIs" dxfId="42" priority="38" stopIfTrue="1" operator="equal">
      <formula>#REF!</formula>
    </cfRule>
  </conditionalFormatting>
  <conditionalFormatting sqref="P14">
    <cfRule type="cellIs" dxfId="41" priority="37" stopIfTrue="1" operator="equal">
      <formula>#REF!</formula>
    </cfRule>
  </conditionalFormatting>
  <conditionalFormatting sqref="P15">
    <cfRule type="cellIs" dxfId="40" priority="36" stopIfTrue="1" operator="equal">
      <formula>#REF!</formula>
    </cfRule>
  </conditionalFormatting>
  <conditionalFormatting sqref="P15">
    <cfRule type="cellIs" dxfId="39" priority="35" stopIfTrue="1" operator="equal">
      <formula>#REF!</formula>
    </cfRule>
  </conditionalFormatting>
  <conditionalFormatting sqref="P15">
    <cfRule type="cellIs" dxfId="38" priority="34" stopIfTrue="1" operator="equal">
      <formula>#REF!</formula>
    </cfRule>
  </conditionalFormatting>
  <conditionalFormatting sqref="P15">
    <cfRule type="cellIs" dxfId="37" priority="33" stopIfTrue="1" operator="equal">
      <formula>#REF!</formula>
    </cfRule>
  </conditionalFormatting>
  <conditionalFormatting sqref="P15">
    <cfRule type="cellIs" dxfId="36" priority="32" stopIfTrue="1" operator="equal">
      <formula>#REF!</formula>
    </cfRule>
  </conditionalFormatting>
  <conditionalFormatting sqref="P15">
    <cfRule type="cellIs" dxfId="35" priority="31" stopIfTrue="1" operator="equal">
      <formula>#REF!</formula>
    </cfRule>
  </conditionalFormatting>
  <conditionalFormatting sqref="P16">
    <cfRule type="cellIs" dxfId="34" priority="30" stopIfTrue="1" operator="equal">
      <formula>#REF!</formula>
    </cfRule>
  </conditionalFormatting>
  <conditionalFormatting sqref="P16">
    <cfRule type="cellIs" dxfId="33" priority="29" stopIfTrue="1" operator="equal">
      <formula>#REF!</formula>
    </cfRule>
  </conditionalFormatting>
  <conditionalFormatting sqref="P16">
    <cfRule type="cellIs" dxfId="32" priority="28" stopIfTrue="1" operator="equal">
      <formula>#REF!</formula>
    </cfRule>
  </conditionalFormatting>
  <conditionalFormatting sqref="P16">
    <cfRule type="cellIs" dxfId="31" priority="27" stopIfTrue="1" operator="equal">
      <formula>#REF!</formula>
    </cfRule>
  </conditionalFormatting>
  <conditionalFormatting sqref="P16">
    <cfRule type="cellIs" dxfId="30" priority="26" stopIfTrue="1" operator="equal">
      <formula>#REF!</formula>
    </cfRule>
  </conditionalFormatting>
  <conditionalFormatting sqref="P16">
    <cfRule type="cellIs" dxfId="29" priority="25" stopIfTrue="1" operator="equal">
      <formula>#REF!</formula>
    </cfRule>
  </conditionalFormatting>
  <conditionalFormatting sqref="P17">
    <cfRule type="cellIs" dxfId="28" priority="24" stopIfTrue="1" operator="equal">
      <formula>#REF!</formula>
    </cfRule>
  </conditionalFormatting>
  <conditionalFormatting sqref="P17">
    <cfRule type="cellIs" dxfId="27" priority="23" stopIfTrue="1" operator="equal">
      <formula>#REF!</formula>
    </cfRule>
  </conditionalFormatting>
  <conditionalFormatting sqref="P17">
    <cfRule type="cellIs" dxfId="26" priority="22" stopIfTrue="1" operator="equal">
      <formula>#REF!</formula>
    </cfRule>
  </conditionalFormatting>
  <conditionalFormatting sqref="P17">
    <cfRule type="cellIs" dxfId="25" priority="21" stopIfTrue="1" operator="equal">
      <formula>#REF!</formula>
    </cfRule>
  </conditionalFormatting>
  <conditionalFormatting sqref="P17">
    <cfRule type="cellIs" dxfId="24" priority="20" stopIfTrue="1" operator="equal">
      <formula>#REF!</formula>
    </cfRule>
  </conditionalFormatting>
  <conditionalFormatting sqref="P17">
    <cfRule type="cellIs" dxfId="23" priority="19" stopIfTrue="1" operator="equal">
      <formula>#REF!</formula>
    </cfRule>
  </conditionalFormatting>
  <conditionalFormatting sqref="P18">
    <cfRule type="cellIs" dxfId="22" priority="18" stopIfTrue="1" operator="equal">
      <formula>#REF!</formula>
    </cfRule>
  </conditionalFormatting>
  <conditionalFormatting sqref="P18">
    <cfRule type="cellIs" dxfId="21" priority="17" stopIfTrue="1" operator="equal">
      <formula>#REF!</formula>
    </cfRule>
  </conditionalFormatting>
  <conditionalFormatting sqref="P18">
    <cfRule type="cellIs" dxfId="20" priority="16" stopIfTrue="1" operator="equal">
      <formula>#REF!</formula>
    </cfRule>
  </conditionalFormatting>
  <conditionalFormatting sqref="P18">
    <cfRule type="cellIs" dxfId="19" priority="15" stopIfTrue="1" operator="equal">
      <formula>#REF!</formula>
    </cfRule>
  </conditionalFormatting>
  <conditionalFormatting sqref="P18">
    <cfRule type="cellIs" dxfId="18" priority="14" stopIfTrue="1" operator="equal">
      <formula>#REF!</formula>
    </cfRule>
  </conditionalFormatting>
  <conditionalFormatting sqref="P18">
    <cfRule type="cellIs" dxfId="17" priority="13" stopIfTrue="1" operator="equal">
      <formula>#REF!</formula>
    </cfRule>
  </conditionalFormatting>
  <conditionalFormatting sqref="P19">
    <cfRule type="cellIs" dxfId="16" priority="12" stopIfTrue="1" operator="equal">
      <formula>#REF!</formula>
    </cfRule>
  </conditionalFormatting>
  <conditionalFormatting sqref="P19">
    <cfRule type="cellIs" dxfId="15" priority="11" stopIfTrue="1" operator="equal">
      <formula>#REF!</formula>
    </cfRule>
  </conditionalFormatting>
  <conditionalFormatting sqref="P19">
    <cfRule type="cellIs" dxfId="14" priority="10" stopIfTrue="1" operator="equal">
      <formula>#REF!</formula>
    </cfRule>
  </conditionalFormatting>
  <conditionalFormatting sqref="P19">
    <cfRule type="cellIs" dxfId="13" priority="9" stopIfTrue="1" operator="equal">
      <formula>#REF!</formula>
    </cfRule>
  </conditionalFormatting>
  <conditionalFormatting sqref="P19">
    <cfRule type="cellIs" dxfId="12" priority="8" stopIfTrue="1" operator="equal">
      <formula>#REF!</formula>
    </cfRule>
  </conditionalFormatting>
  <conditionalFormatting sqref="P19">
    <cfRule type="cellIs" dxfId="11" priority="7" stopIfTrue="1" operator="equal">
      <formula>#REF!</formula>
    </cfRule>
  </conditionalFormatting>
  <conditionalFormatting sqref="P30">
    <cfRule type="cellIs" dxfId="10" priority="6" stopIfTrue="1" operator="equal">
      <formula>#REF!</formula>
    </cfRule>
  </conditionalFormatting>
  <conditionalFormatting sqref="P30">
    <cfRule type="cellIs" dxfId="9" priority="5" stopIfTrue="1" operator="equal">
      <formula>#REF!</formula>
    </cfRule>
  </conditionalFormatting>
  <conditionalFormatting sqref="P30">
    <cfRule type="cellIs" dxfId="8" priority="4" stopIfTrue="1" operator="equal">
      <formula>#REF!</formula>
    </cfRule>
  </conditionalFormatting>
  <conditionalFormatting sqref="P30">
    <cfRule type="cellIs" dxfId="7" priority="3" stopIfTrue="1" operator="equal">
      <formula>#REF!</formula>
    </cfRule>
  </conditionalFormatting>
  <conditionalFormatting sqref="P30">
    <cfRule type="cellIs" dxfId="6" priority="2" stopIfTrue="1" operator="equal">
      <formula>#REF!</formula>
    </cfRule>
  </conditionalFormatting>
  <conditionalFormatting sqref="P30">
    <cfRule type="cellIs" dxfId="5" priority="1" stopIfTrue="1" operator="equal">
      <formula>#REF!</formula>
    </cfRule>
  </conditionalFormatting>
  <dataValidations count="5">
    <dataValidation type="list" allowBlank="1" showInputMessage="1" showErrorMessage="1" sqref="I8:I59">
      <formula1>Etat</formula1>
    </dataValidation>
    <dataValidation type="list" allowBlank="1" showInputMessage="1" showErrorMessage="1" sqref="D8:D59">
      <formula1>Priorité</formula1>
    </dataValidation>
    <dataValidation type="list" allowBlank="1" showInputMessage="1" showErrorMessage="1" sqref="M8:M59">
      <formula1>Conformité</formula1>
    </dataValidation>
    <dataValidation type="list" allowBlank="1" showInputMessage="1" showErrorMessage="1" sqref="G8:G59">
      <formula1>"1,2,3"</formula1>
    </dataValidation>
    <dataValidation type="list" allowBlank="1" showInputMessage="1" showErrorMessage="1" sqref="H8:H59">
      <formula1>"complexe,normale,simple"</formula1>
    </dataValidation>
  </dataValidations>
  <printOptions horizontalCentered="1" verticalCentered="1"/>
  <pageMargins left="0" right="0" top="0.35433070866141736" bottom="0.39370078740157483" header="0.31496062992125984" footer="0.15748031496062992"/>
  <pageSetup paperSize="9" scale="61" orientation="landscape"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contrainte" enableFormatConditionsCalculation="0">
    <tabColor indexed="61"/>
    <pageSetUpPr fitToPage="1"/>
  </sheetPr>
  <dimension ref="A1:S27"/>
  <sheetViews>
    <sheetView showGridLines="0" zoomScaleNormal="100" workbookViewId="0">
      <selection activeCell="F59" sqref="F59"/>
    </sheetView>
  </sheetViews>
  <sheetFormatPr baseColWidth="10" defaultRowHeight="12.75" x14ac:dyDescent="0.2"/>
  <cols>
    <col min="1" max="1" width="4.85546875" style="143" customWidth="1"/>
    <col min="2" max="2" width="18.7109375" style="135" customWidth="1"/>
    <col min="3" max="3" width="45.7109375" style="135" customWidth="1"/>
    <col min="4" max="6" width="10.7109375" style="135" customWidth="1"/>
    <col min="7" max="7" width="9.85546875" style="135" bestFit="1" customWidth="1"/>
    <col min="8" max="8" width="15.7109375" style="135" hidden="1" customWidth="1"/>
    <col min="9" max="9" width="10.7109375" style="136" customWidth="1"/>
    <col min="10" max="10" width="13.5703125" style="136" hidden="1" customWidth="1"/>
    <col min="11" max="11" width="11.28515625" style="136" hidden="1" customWidth="1"/>
    <col min="12" max="14" width="17.7109375" style="136" hidden="1" customWidth="1"/>
    <col min="15" max="15" width="10.7109375" style="136" hidden="1" customWidth="1"/>
    <col min="16" max="16" width="11.140625" style="135" customWidth="1"/>
    <col min="17" max="17" width="14" style="135" bestFit="1" customWidth="1"/>
    <col min="19" max="19" width="9.42578125" bestFit="1" customWidth="1"/>
    <col min="20" max="20" width="12" bestFit="1" customWidth="1"/>
    <col min="21" max="21" width="7" customWidth="1"/>
    <col min="22" max="22" width="9" bestFit="1" customWidth="1"/>
  </cols>
  <sheetData>
    <row r="1" spans="1:19" ht="38.25" x14ac:dyDescent="0.2">
      <c r="B1" s="193" t="s">
        <v>9</v>
      </c>
      <c r="C1" s="261" t="s">
        <v>65</v>
      </c>
      <c r="D1" s="261"/>
      <c r="E1" s="261"/>
      <c r="F1" s="261"/>
      <c r="G1" s="261"/>
      <c r="H1" s="261"/>
      <c r="I1" s="261"/>
      <c r="J1" s="261"/>
      <c r="K1" s="261"/>
      <c r="L1" s="261"/>
      <c r="M1" s="261"/>
      <c r="N1" s="261"/>
      <c r="O1" s="261"/>
      <c r="P1" s="261"/>
      <c r="Q1" s="261"/>
      <c r="R1" s="261"/>
      <c r="S1" s="261"/>
    </row>
    <row r="2" spans="1:19" ht="13.5" customHeight="1" x14ac:dyDescent="0.2">
      <c r="B2" s="259" t="s">
        <v>104</v>
      </c>
      <c r="C2" s="259"/>
      <c r="D2" s="259"/>
      <c r="E2" s="259"/>
      <c r="F2" s="259"/>
      <c r="G2" s="259"/>
      <c r="H2" s="259"/>
      <c r="I2" s="259"/>
      <c r="J2" s="146"/>
      <c r="K2" s="146"/>
      <c r="L2" s="146"/>
      <c r="M2" s="146"/>
      <c r="N2" s="146"/>
      <c r="O2" s="146"/>
      <c r="P2" s="146"/>
      <c r="Q2" s="146"/>
      <c r="R2" s="116"/>
    </row>
    <row r="3" spans="1:19" x14ac:dyDescent="0.2">
      <c r="B3" s="258" t="s">
        <v>42</v>
      </c>
      <c r="C3" s="258"/>
      <c r="D3" s="258"/>
      <c r="E3" s="258"/>
      <c r="F3" s="258"/>
      <c r="G3" s="258"/>
      <c r="H3" s="258"/>
      <c r="I3" s="258"/>
      <c r="J3" s="258"/>
      <c r="K3" s="258"/>
      <c r="L3" s="258"/>
      <c r="M3" s="149"/>
      <c r="N3" s="149"/>
      <c r="O3" s="149"/>
      <c r="P3" s="194"/>
      <c r="Q3" s="147"/>
    </row>
    <row r="4" spans="1:19" ht="13.5" thickBot="1" x14ac:dyDescent="0.25">
      <c r="B4" s="134"/>
      <c r="C4" s="134"/>
      <c r="D4" s="134"/>
      <c r="E4" s="134"/>
      <c r="F4" s="134"/>
      <c r="G4" s="134"/>
      <c r="H4" s="134"/>
      <c r="I4" s="134"/>
      <c r="J4" s="134"/>
      <c r="K4" s="134"/>
      <c r="L4" s="134"/>
      <c r="M4" s="134"/>
      <c r="N4" s="134"/>
      <c r="O4" s="134"/>
      <c r="P4" s="134"/>
      <c r="Q4" s="134"/>
    </row>
    <row r="5" spans="1:19" s="87" customFormat="1" ht="11.25" x14ac:dyDescent="0.2">
      <c r="A5" s="144"/>
      <c r="B5" s="88" t="s">
        <v>95</v>
      </c>
      <c r="C5" s="89" t="s">
        <v>96</v>
      </c>
      <c r="D5" s="89" t="s">
        <v>97</v>
      </c>
      <c r="E5" s="89"/>
      <c r="F5" s="89"/>
      <c r="G5" s="89"/>
      <c r="H5" s="89"/>
      <c r="I5" s="89"/>
      <c r="J5" s="90"/>
      <c r="K5" s="90"/>
      <c r="L5" s="90"/>
      <c r="M5" s="90"/>
      <c r="N5" s="90"/>
      <c r="O5" s="95"/>
      <c r="P5" s="95"/>
      <c r="Q5" s="96"/>
    </row>
    <row r="6" spans="1:19" s="87" customFormat="1" ht="12" thickBot="1" x14ac:dyDescent="0.25">
      <c r="A6" s="144"/>
      <c r="B6" s="91">
        <f>COUNTA(B8:B987)</f>
        <v>0</v>
      </c>
      <c r="C6" s="92">
        <f>SUBTOTAL(3,B8:B987)</f>
        <v>0</v>
      </c>
      <c r="D6" s="93">
        <f>IF(C6=0,0,C6/B6)</f>
        <v>0</v>
      </c>
      <c r="E6" s="93"/>
      <c r="F6" s="93"/>
      <c r="G6" s="92"/>
      <c r="H6" s="92"/>
      <c r="I6" s="92"/>
      <c r="J6" s="94"/>
      <c r="K6" s="94"/>
      <c r="L6" s="94"/>
      <c r="M6" s="99"/>
      <c r="N6" s="99"/>
      <c r="P6" s="98"/>
      <c r="Q6" s="97"/>
    </row>
    <row r="7" spans="1:19" ht="42.75" customHeight="1" thickBot="1" x14ac:dyDescent="0.25">
      <c r="B7" s="11" t="s">
        <v>14</v>
      </c>
      <c r="C7" s="12" t="s">
        <v>13</v>
      </c>
      <c r="D7" s="12" t="s">
        <v>129</v>
      </c>
      <c r="E7" s="12" t="s">
        <v>113</v>
      </c>
      <c r="F7" s="12" t="s">
        <v>102</v>
      </c>
      <c r="G7" s="12" t="s">
        <v>131</v>
      </c>
      <c r="H7" s="12" t="s">
        <v>130</v>
      </c>
      <c r="I7" s="12" t="s">
        <v>111</v>
      </c>
      <c r="J7" s="12" t="s">
        <v>15</v>
      </c>
      <c r="K7" s="12" t="s">
        <v>30</v>
      </c>
      <c r="L7" s="12" t="s">
        <v>123</v>
      </c>
      <c r="M7" s="12" t="s">
        <v>75</v>
      </c>
      <c r="N7" s="12" t="s">
        <v>76</v>
      </c>
      <c r="O7" s="12" t="s">
        <v>133</v>
      </c>
      <c r="P7" s="12" t="s">
        <v>67</v>
      </c>
      <c r="Q7" s="37" t="s">
        <v>132</v>
      </c>
    </row>
    <row r="8" spans="1:19" x14ac:dyDescent="0.2">
      <c r="A8" s="143">
        <v>1</v>
      </c>
      <c r="B8" s="195"/>
      <c r="C8" s="161"/>
      <c r="D8" s="128"/>
      <c r="E8" s="160"/>
      <c r="F8" s="128"/>
      <c r="G8" s="128"/>
      <c r="H8" s="128"/>
      <c r="I8" s="129"/>
      <c r="J8" s="152"/>
      <c r="K8" s="152"/>
      <c r="L8" s="151"/>
      <c r="M8" s="188"/>
      <c r="N8" s="177"/>
      <c r="O8" s="131"/>
      <c r="P8" s="131"/>
      <c r="Q8" s="179"/>
    </row>
    <row r="9" spans="1:19" x14ac:dyDescent="0.2">
      <c r="A9" s="143">
        <f>A8+1</f>
        <v>2</v>
      </c>
      <c r="B9" s="195"/>
      <c r="C9" s="161"/>
      <c r="D9" s="128"/>
      <c r="E9" s="160"/>
      <c r="F9" s="128"/>
      <c r="G9" s="128"/>
      <c r="H9" s="128"/>
      <c r="I9" s="129"/>
      <c r="J9" s="152"/>
      <c r="K9" s="152"/>
      <c r="L9" s="151"/>
      <c r="M9" s="188"/>
      <c r="N9" s="177"/>
      <c r="O9" s="131"/>
      <c r="P9" s="131"/>
      <c r="Q9" s="179"/>
    </row>
    <row r="10" spans="1:19" x14ac:dyDescent="0.2">
      <c r="A10" s="143">
        <f t="shared" ref="A10:A27" si="0">A9+1</f>
        <v>3</v>
      </c>
      <c r="B10" s="195"/>
      <c r="C10" s="161"/>
      <c r="D10" s="128"/>
      <c r="E10" s="160"/>
      <c r="F10" s="128"/>
      <c r="G10" s="128"/>
      <c r="H10" s="128"/>
      <c r="I10" s="129"/>
      <c r="J10" s="152"/>
      <c r="K10" s="152"/>
      <c r="L10" s="151"/>
      <c r="M10" s="188"/>
      <c r="N10" s="177"/>
      <c r="O10" s="131"/>
      <c r="P10" s="131"/>
      <c r="Q10" s="179"/>
    </row>
    <row r="11" spans="1:19" x14ac:dyDescent="0.2">
      <c r="A11" s="143">
        <f t="shared" si="0"/>
        <v>4</v>
      </c>
      <c r="B11" s="195"/>
      <c r="C11" s="161"/>
      <c r="D11" s="128"/>
      <c r="E11" s="160"/>
      <c r="F11" s="128"/>
      <c r="G11" s="128"/>
      <c r="H11" s="128"/>
      <c r="I11" s="129"/>
      <c r="J11" s="152"/>
      <c r="K11" s="152"/>
      <c r="L11" s="151"/>
      <c r="M11" s="188"/>
      <c r="N11" s="177"/>
      <c r="O11" s="131"/>
      <c r="P11" s="131"/>
      <c r="Q11" s="179"/>
    </row>
    <row r="12" spans="1:19" x14ac:dyDescent="0.2">
      <c r="A12" s="143">
        <f t="shared" si="0"/>
        <v>5</v>
      </c>
      <c r="B12" s="195"/>
      <c r="C12" s="161"/>
      <c r="D12" s="128"/>
      <c r="E12" s="160"/>
      <c r="F12" s="128"/>
      <c r="G12" s="128"/>
      <c r="H12" s="128"/>
      <c r="I12" s="129"/>
      <c r="J12" s="152"/>
      <c r="K12" s="152"/>
      <c r="L12" s="151"/>
      <c r="M12" s="188"/>
      <c r="N12" s="177"/>
      <c r="O12" s="131"/>
      <c r="P12" s="131"/>
      <c r="Q12" s="179"/>
    </row>
    <row r="13" spans="1:19" x14ac:dyDescent="0.2">
      <c r="A13" s="143">
        <f t="shared" si="0"/>
        <v>6</v>
      </c>
      <c r="B13" s="196"/>
      <c r="C13" s="161"/>
      <c r="D13" s="128"/>
      <c r="E13" s="160"/>
      <c r="F13" s="128"/>
      <c r="G13" s="128"/>
      <c r="H13" s="128"/>
      <c r="I13" s="129"/>
      <c r="J13" s="152"/>
      <c r="K13" s="152"/>
      <c r="L13" s="151"/>
      <c r="M13" s="188"/>
      <c r="N13" s="177"/>
      <c r="O13" s="131"/>
      <c r="P13" s="131"/>
      <c r="Q13" s="179"/>
    </row>
    <row r="14" spans="1:19" x14ac:dyDescent="0.2">
      <c r="A14" s="143">
        <f t="shared" si="0"/>
        <v>7</v>
      </c>
      <c r="B14" s="196"/>
      <c r="C14" s="161"/>
      <c r="D14" s="128"/>
      <c r="E14" s="160"/>
      <c r="F14" s="128"/>
      <c r="G14" s="128"/>
      <c r="H14" s="128"/>
      <c r="I14" s="129"/>
      <c r="J14" s="152"/>
      <c r="K14" s="152"/>
      <c r="L14" s="151"/>
      <c r="M14" s="188"/>
      <c r="N14" s="177"/>
      <c r="O14" s="131"/>
      <c r="P14" s="131"/>
      <c r="Q14" s="179"/>
    </row>
    <row r="15" spans="1:19" x14ac:dyDescent="0.2">
      <c r="A15" s="143">
        <f t="shared" si="0"/>
        <v>8</v>
      </c>
      <c r="B15" s="195"/>
      <c r="C15" s="161"/>
      <c r="D15" s="128"/>
      <c r="E15" s="160"/>
      <c r="F15" s="128"/>
      <c r="G15" s="128"/>
      <c r="H15" s="128"/>
      <c r="I15" s="129"/>
      <c r="J15" s="152"/>
      <c r="K15" s="152"/>
      <c r="L15" s="151"/>
      <c r="M15" s="188"/>
      <c r="N15" s="177"/>
      <c r="O15" s="131"/>
      <c r="P15" s="131"/>
      <c r="Q15" s="179"/>
    </row>
    <row r="16" spans="1:19" x14ac:dyDescent="0.2">
      <c r="A16" s="143">
        <f t="shared" si="0"/>
        <v>9</v>
      </c>
      <c r="B16" s="195"/>
      <c r="C16" s="161"/>
      <c r="D16" s="128"/>
      <c r="E16" s="160"/>
      <c r="F16" s="128"/>
      <c r="G16" s="128"/>
      <c r="H16" s="128"/>
      <c r="I16" s="129"/>
      <c r="J16" s="152"/>
      <c r="K16" s="152"/>
      <c r="L16" s="151"/>
      <c r="M16" s="188"/>
      <c r="N16" s="177"/>
      <c r="O16" s="131"/>
      <c r="P16" s="131"/>
      <c r="Q16" s="179"/>
    </row>
    <row r="17" spans="1:17" x14ac:dyDescent="0.2">
      <c r="A17" s="143">
        <f t="shared" si="0"/>
        <v>10</v>
      </c>
      <c r="B17" s="195"/>
      <c r="C17" s="161"/>
      <c r="D17" s="128"/>
      <c r="E17" s="160"/>
      <c r="F17" s="128"/>
      <c r="G17" s="128"/>
      <c r="H17" s="128"/>
      <c r="I17" s="129"/>
      <c r="J17" s="152"/>
      <c r="K17" s="152"/>
      <c r="L17" s="151"/>
      <c r="M17" s="188"/>
      <c r="N17" s="177"/>
      <c r="O17" s="131"/>
      <c r="P17" s="131"/>
      <c r="Q17" s="179"/>
    </row>
    <row r="18" spans="1:17" x14ac:dyDescent="0.2">
      <c r="A18" s="143">
        <f t="shared" si="0"/>
        <v>11</v>
      </c>
      <c r="B18" s="195"/>
      <c r="C18" s="161"/>
      <c r="D18" s="128"/>
      <c r="E18" s="160"/>
      <c r="F18" s="128"/>
      <c r="G18" s="128"/>
      <c r="H18" s="128"/>
      <c r="I18" s="129"/>
      <c r="J18" s="152"/>
      <c r="K18" s="152"/>
      <c r="L18" s="151"/>
      <c r="M18" s="188"/>
      <c r="N18" s="177"/>
      <c r="O18" s="131"/>
      <c r="P18" s="131"/>
      <c r="Q18" s="179"/>
    </row>
    <row r="19" spans="1:17" x14ac:dyDescent="0.2">
      <c r="A19" s="143">
        <f t="shared" si="0"/>
        <v>12</v>
      </c>
      <c r="B19" s="195"/>
      <c r="C19" s="161"/>
      <c r="D19" s="128"/>
      <c r="E19" s="160"/>
      <c r="F19" s="128"/>
      <c r="G19" s="128"/>
      <c r="H19" s="128"/>
      <c r="I19" s="129"/>
      <c r="J19" s="152"/>
      <c r="K19" s="152"/>
      <c r="L19" s="151"/>
      <c r="M19" s="188"/>
      <c r="N19" s="177"/>
      <c r="O19" s="131"/>
      <c r="P19" s="131"/>
      <c r="Q19" s="179"/>
    </row>
    <row r="20" spans="1:17" x14ac:dyDescent="0.2">
      <c r="A20" s="143">
        <f t="shared" si="0"/>
        <v>13</v>
      </c>
      <c r="B20" s="195"/>
      <c r="C20" s="161"/>
      <c r="D20" s="128"/>
      <c r="E20" s="160"/>
      <c r="F20" s="128"/>
      <c r="G20" s="128"/>
      <c r="H20" s="128"/>
      <c r="I20" s="129"/>
      <c r="J20" s="152"/>
      <c r="K20" s="152"/>
      <c r="L20" s="151"/>
      <c r="M20" s="188"/>
      <c r="N20" s="177"/>
      <c r="O20" s="131"/>
      <c r="P20" s="131"/>
      <c r="Q20" s="179"/>
    </row>
    <row r="21" spans="1:17" x14ac:dyDescent="0.2">
      <c r="A21" s="143">
        <f t="shared" si="0"/>
        <v>14</v>
      </c>
      <c r="B21" s="195"/>
      <c r="C21" s="161"/>
      <c r="D21" s="128"/>
      <c r="E21" s="160"/>
      <c r="F21" s="128"/>
      <c r="G21" s="128"/>
      <c r="H21" s="128"/>
      <c r="I21" s="129"/>
      <c r="J21" s="152"/>
      <c r="K21" s="152"/>
      <c r="L21" s="151"/>
      <c r="M21" s="188"/>
      <c r="N21" s="177"/>
      <c r="O21" s="131"/>
      <c r="P21" s="131"/>
      <c r="Q21" s="179"/>
    </row>
    <row r="22" spans="1:17" x14ac:dyDescent="0.2">
      <c r="A22" s="143">
        <f t="shared" si="0"/>
        <v>15</v>
      </c>
      <c r="B22" s="195"/>
      <c r="C22" s="161"/>
      <c r="D22" s="128"/>
      <c r="E22" s="160"/>
      <c r="F22" s="128"/>
      <c r="G22" s="128"/>
      <c r="H22" s="128"/>
      <c r="I22" s="129"/>
      <c r="J22" s="152"/>
      <c r="K22" s="152"/>
      <c r="L22" s="151"/>
      <c r="M22" s="188"/>
      <c r="N22" s="177"/>
      <c r="O22" s="131"/>
      <c r="P22" s="131"/>
      <c r="Q22" s="179"/>
    </row>
    <row r="23" spans="1:17" x14ac:dyDescent="0.2">
      <c r="A23" s="143">
        <f t="shared" si="0"/>
        <v>16</v>
      </c>
      <c r="B23" s="195"/>
      <c r="C23" s="161"/>
      <c r="D23" s="128"/>
      <c r="E23" s="160"/>
      <c r="F23" s="128"/>
      <c r="G23" s="128"/>
      <c r="H23" s="128"/>
      <c r="I23" s="129"/>
      <c r="J23" s="152"/>
      <c r="K23" s="152"/>
      <c r="L23" s="151"/>
      <c r="M23" s="188"/>
      <c r="N23" s="177"/>
      <c r="O23" s="131"/>
      <c r="P23" s="131"/>
      <c r="Q23" s="179"/>
    </row>
    <row r="24" spans="1:17" x14ac:dyDescent="0.2">
      <c r="A24" s="143">
        <f t="shared" si="0"/>
        <v>17</v>
      </c>
      <c r="B24" s="195"/>
      <c r="C24" s="161"/>
      <c r="D24" s="128"/>
      <c r="E24" s="160"/>
      <c r="F24" s="128"/>
      <c r="G24" s="128"/>
      <c r="H24" s="128"/>
      <c r="I24" s="129"/>
      <c r="J24" s="152"/>
      <c r="K24" s="152"/>
      <c r="L24" s="151"/>
      <c r="M24" s="188"/>
      <c r="N24" s="177"/>
      <c r="O24" s="131"/>
      <c r="P24" s="131"/>
      <c r="Q24" s="179"/>
    </row>
    <row r="25" spans="1:17" x14ac:dyDescent="0.2">
      <c r="A25" s="143">
        <f t="shared" si="0"/>
        <v>18</v>
      </c>
      <c r="B25" s="195"/>
      <c r="C25" s="161"/>
      <c r="D25" s="128"/>
      <c r="E25" s="160"/>
      <c r="F25" s="128"/>
      <c r="G25" s="128"/>
      <c r="H25" s="128"/>
      <c r="I25" s="129"/>
      <c r="J25" s="152"/>
      <c r="K25" s="152"/>
      <c r="L25" s="151"/>
      <c r="M25" s="188"/>
      <c r="N25" s="177"/>
      <c r="O25" s="131"/>
      <c r="P25" s="131"/>
      <c r="Q25" s="179"/>
    </row>
    <row r="26" spans="1:17" x14ac:dyDescent="0.2">
      <c r="A26" s="143">
        <f t="shared" si="0"/>
        <v>19</v>
      </c>
      <c r="B26" s="195"/>
      <c r="C26" s="161"/>
      <c r="D26" s="128"/>
      <c r="E26" s="160"/>
      <c r="F26" s="128"/>
      <c r="G26" s="128"/>
      <c r="H26" s="128"/>
      <c r="I26" s="129"/>
      <c r="J26" s="152"/>
      <c r="K26" s="152"/>
      <c r="L26" s="151"/>
      <c r="M26" s="188"/>
      <c r="N26" s="177"/>
      <c r="O26" s="131"/>
      <c r="P26" s="131"/>
      <c r="Q26" s="179"/>
    </row>
    <row r="27" spans="1:17" x14ac:dyDescent="0.2">
      <c r="A27" s="143">
        <f t="shared" si="0"/>
        <v>20</v>
      </c>
      <c r="B27" s="195"/>
      <c r="C27" s="161"/>
      <c r="D27" s="128"/>
      <c r="E27" s="160"/>
      <c r="F27" s="128"/>
      <c r="G27" s="128"/>
      <c r="H27" s="128"/>
      <c r="I27" s="129"/>
      <c r="J27" s="152"/>
      <c r="K27" s="152"/>
      <c r="L27" s="151"/>
      <c r="M27" s="188"/>
      <c r="N27" s="177"/>
      <c r="O27" s="131"/>
      <c r="P27" s="131"/>
      <c r="Q27" s="179"/>
    </row>
  </sheetData>
  <mergeCells count="3">
    <mergeCell ref="C1:S1"/>
    <mergeCell ref="B3:L3"/>
    <mergeCell ref="B2:I2"/>
  </mergeCells>
  <phoneticPr fontId="6" type="noConversion"/>
  <conditionalFormatting sqref="O8:P27">
    <cfRule type="cellIs" dxfId="4" priority="1" stopIfTrue="1" operator="equal">
      <formula>#REF!</formula>
    </cfRule>
  </conditionalFormatting>
  <dataValidations count="5">
    <dataValidation type="list" allowBlank="1" showInputMessage="1" showErrorMessage="1" sqref="I8:I27">
      <formula1>Etat</formula1>
    </dataValidation>
    <dataValidation type="list" allowBlank="1" showInputMessage="1" showErrorMessage="1" sqref="D8:D27">
      <formula1>Priorité</formula1>
    </dataValidation>
    <dataValidation type="list" allowBlank="1" showInputMessage="1" showErrorMessage="1" sqref="M8:M27">
      <formula1>Conformité</formula1>
    </dataValidation>
    <dataValidation type="list" allowBlank="1" showInputMessage="1" showErrorMessage="1" sqref="G8:G27">
      <formula1>"1,2,3"</formula1>
    </dataValidation>
    <dataValidation type="list" allowBlank="1" showInputMessage="1" showErrorMessage="1" sqref="H8:H27">
      <formula1>"Complexe,Normale,Simple"</formula1>
    </dataValidation>
  </dataValidations>
  <printOptions horizontalCentered="1" verticalCentered="1"/>
  <pageMargins left="0" right="0" top="0.35433070866141736" bottom="0.39370078740157483" header="0.31496062992125984" footer="0.15748031496062992"/>
  <pageSetup paperSize="9" scale="58" orientation="landscape" r:id="rId1"/>
  <headerFooter alignWithMargins="0">
    <oddHeader>&amp;L&amp;G&amp;R
&amp;F</oddHeader>
    <oddFooter>&amp;LRef_Exigences / 1.60 / mars16&amp;CInterne Orange Applications for Business&amp;R&amp;P/&amp;N</oddFooter>
  </headerFooter>
  <legacy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synthese">
    <pageSetUpPr fitToPage="1"/>
  </sheetPr>
  <dimension ref="A1:K14"/>
  <sheetViews>
    <sheetView showGridLines="0" topLeftCell="A2" zoomScaleNormal="100" workbookViewId="0">
      <selection activeCell="B29" sqref="B29"/>
    </sheetView>
  </sheetViews>
  <sheetFormatPr baseColWidth="10" defaultRowHeight="12.75" x14ac:dyDescent="0.2"/>
  <cols>
    <col min="1" max="1" width="27.42578125" style="74" bestFit="1" customWidth="1"/>
    <col min="2" max="2" width="60.140625" style="116" customWidth="1"/>
    <col min="3" max="3" width="15.7109375" style="73" customWidth="1"/>
    <col min="4" max="4" width="14.7109375" style="73" customWidth="1"/>
    <col min="5" max="5" width="39.140625" style="73" customWidth="1"/>
    <col min="6" max="16384" width="11.42578125" style="73"/>
  </cols>
  <sheetData>
    <row r="1" spans="1:11" hidden="1" x14ac:dyDescent="0.2">
      <c r="A1" s="122"/>
      <c r="B1" s="102"/>
      <c r="C1" s="103"/>
      <c r="D1" s="101"/>
      <c r="E1" s="101"/>
      <c r="F1" s="103"/>
      <c r="G1" s="72"/>
      <c r="H1" s="72"/>
      <c r="I1" s="72"/>
      <c r="J1" s="72"/>
      <c r="K1" s="72"/>
    </row>
    <row r="2" spans="1:11" ht="21.75" customHeight="1" x14ac:dyDescent="0.2">
      <c r="A2" s="71"/>
      <c r="B2" s="120"/>
      <c r="C2" s="72"/>
      <c r="D2" s="72"/>
      <c r="E2" s="72"/>
      <c r="F2" s="72"/>
      <c r="G2" s="72"/>
      <c r="H2" s="72"/>
      <c r="I2" s="72"/>
      <c r="J2" s="72"/>
      <c r="K2" s="72"/>
    </row>
    <row r="3" spans="1:11" x14ac:dyDescent="0.2">
      <c r="A3" s="74" t="s">
        <v>68</v>
      </c>
      <c r="B3" s="120"/>
      <c r="C3" s="72"/>
      <c r="D3" s="72"/>
      <c r="E3" s="72"/>
      <c r="F3" s="72"/>
      <c r="G3" s="72"/>
      <c r="H3" s="72"/>
      <c r="I3" s="72"/>
      <c r="J3" s="72"/>
      <c r="K3" s="72"/>
    </row>
    <row r="4" spans="1:11" s="119" customFormat="1" x14ac:dyDescent="0.2">
      <c r="A4" s="118" t="s">
        <v>115</v>
      </c>
      <c r="B4" s="121" t="s">
        <v>116</v>
      </c>
      <c r="C4" s="118" t="s">
        <v>74</v>
      </c>
      <c r="D4" s="118" t="s">
        <v>75</v>
      </c>
      <c r="E4" s="118" t="s">
        <v>76</v>
      </c>
      <c r="F4" s="118" t="s">
        <v>133</v>
      </c>
    </row>
    <row r="5" spans="1:11" x14ac:dyDescent="0.2">
      <c r="A5" s="122"/>
      <c r="B5" s="102"/>
      <c r="C5" s="103"/>
      <c r="D5" s="101"/>
      <c r="E5" s="101"/>
      <c r="F5" s="103"/>
      <c r="G5" s="72"/>
      <c r="H5" s="72"/>
      <c r="I5" s="72"/>
      <c r="J5" s="72"/>
      <c r="K5" s="72"/>
    </row>
    <row r="6" spans="1:11" x14ac:dyDescent="0.2">
      <c r="A6" s="122"/>
      <c r="B6" s="102"/>
      <c r="C6" s="103"/>
      <c r="D6" s="101"/>
      <c r="E6" s="101"/>
      <c r="F6" s="103"/>
      <c r="G6" s="72"/>
      <c r="H6" s="72"/>
      <c r="I6" s="72"/>
      <c r="J6" s="72"/>
      <c r="K6" s="72"/>
    </row>
    <row r="7" spans="1:11" x14ac:dyDescent="0.2">
      <c r="A7" s="122"/>
      <c r="B7" s="102"/>
      <c r="C7" s="103"/>
      <c r="D7" s="101"/>
      <c r="E7" s="101"/>
      <c r="F7" s="103"/>
      <c r="G7" s="72"/>
      <c r="H7" s="72"/>
      <c r="I7" s="72"/>
      <c r="J7" s="72"/>
      <c r="K7" s="72"/>
    </row>
    <row r="8" spans="1:11" x14ac:dyDescent="0.2">
      <c r="A8" s="122"/>
      <c r="B8" s="102"/>
      <c r="C8" s="103"/>
      <c r="D8" s="101"/>
      <c r="E8" s="101"/>
      <c r="F8" s="103"/>
      <c r="G8" s="72"/>
      <c r="H8" s="72"/>
      <c r="I8" s="72"/>
      <c r="J8" s="72"/>
      <c r="K8" s="72"/>
    </row>
    <row r="9" spans="1:11" x14ac:dyDescent="0.2">
      <c r="A9" s="122"/>
      <c r="B9" s="102"/>
      <c r="C9" s="103"/>
      <c r="D9" s="101"/>
      <c r="E9" s="101"/>
      <c r="F9" s="103"/>
      <c r="G9" s="72"/>
      <c r="H9" s="72"/>
      <c r="I9" s="72"/>
      <c r="J9" s="72"/>
      <c r="K9" s="72"/>
    </row>
    <row r="10" spans="1:11" x14ac:dyDescent="0.2">
      <c r="A10" s="122"/>
      <c r="B10" s="102"/>
      <c r="C10" s="103"/>
      <c r="D10" s="101"/>
      <c r="E10" s="101"/>
      <c r="F10" s="103"/>
      <c r="G10" s="72"/>
      <c r="H10" s="72"/>
      <c r="I10" s="72"/>
      <c r="J10" s="72"/>
      <c r="K10" s="72"/>
    </row>
    <row r="11" spans="1:11" x14ac:dyDescent="0.2">
      <c r="A11" s="122"/>
      <c r="B11" s="102"/>
      <c r="C11" s="103"/>
      <c r="D11" s="101"/>
      <c r="E11" s="101"/>
      <c r="F11" s="103"/>
      <c r="G11" s="72"/>
      <c r="H11" s="72"/>
      <c r="I11" s="72"/>
      <c r="J11" s="72"/>
      <c r="K11" s="72"/>
    </row>
    <row r="12" spans="1:11" x14ac:dyDescent="0.2">
      <c r="A12" s="122"/>
      <c r="B12" s="102"/>
      <c r="C12" s="103"/>
      <c r="D12" s="101"/>
      <c r="E12" s="101"/>
      <c r="F12" s="103"/>
      <c r="G12" s="72"/>
      <c r="H12" s="72"/>
      <c r="I12" s="72"/>
      <c r="J12" s="72"/>
      <c r="K12" s="72"/>
    </row>
    <row r="13" spans="1:11" x14ac:dyDescent="0.2">
      <c r="A13" s="122"/>
      <c r="B13" s="102"/>
      <c r="C13" s="103"/>
      <c r="D13" s="101"/>
      <c r="E13" s="101"/>
      <c r="F13" s="103"/>
      <c r="G13" s="72"/>
      <c r="H13" s="72"/>
      <c r="I13" s="72"/>
      <c r="J13" s="72"/>
      <c r="K13" s="72"/>
    </row>
    <row r="14" spans="1:11" x14ac:dyDescent="0.2">
      <c r="A14" s="122"/>
      <c r="B14" s="102"/>
      <c r="C14" s="103"/>
      <c r="D14" s="101"/>
      <c r="E14" s="101"/>
      <c r="F14" s="103"/>
      <c r="G14" s="72"/>
      <c r="H14" s="72"/>
      <c r="I14" s="72"/>
      <c r="J14" s="72"/>
      <c r="K14" s="72"/>
    </row>
  </sheetData>
  <phoneticPr fontId="6" type="noConversion"/>
  <conditionalFormatting sqref="C1">
    <cfRule type="cellIs" dxfId="3" priority="597" stopIfTrue="1" operator="equal">
      <formula>#REF!</formula>
    </cfRule>
  </conditionalFormatting>
  <conditionalFormatting sqref="F1">
    <cfRule type="cellIs" dxfId="2" priority="596" stopIfTrue="1" operator="equal">
      <formula>#REF!</formula>
    </cfRule>
  </conditionalFormatting>
  <conditionalFormatting sqref="C5:C14">
    <cfRule type="cellIs" dxfId="1" priority="2" stopIfTrue="1" operator="equal">
      <formula>#REF!</formula>
    </cfRule>
  </conditionalFormatting>
  <conditionalFormatting sqref="F5:F14">
    <cfRule type="cellIs" dxfId="0" priority="1" stopIfTrue="1" operator="equal">
      <formula>#REF!</formula>
    </cfRule>
  </conditionalFormatting>
  <dataValidations count="1">
    <dataValidation type="list" allowBlank="1" showInputMessage="1" showErrorMessage="1" sqref="D1 D5:D14">
      <formula1>Conformité</formula1>
    </dataValidation>
  </dataValidations>
  <printOptions horizontalCentered="1"/>
  <pageMargins left="0" right="0" top="0.35433070866141736" bottom="0.39370078740157483" header="0.31496062992125984" footer="0.15748031496062992"/>
  <pageSetup paperSize="9" scale="91" orientation="landscape" verticalDpi="300" r:id="rId1"/>
  <headerFooter alignWithMargins="0">
    <oddHeader>&amp;L&amp;G&amp;R
&amp;F</oddHeader>
    <oddFooter>&amp;LRef_Exigences / 1.60 / mars16&amp;CInterne Orange Applications for Business&amp;R&amp;P/&amp;N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175" r:id="rId5" name="Button 7">
              <controlPr defaultSize="0" print="0" autoFill="0" autoPict="0" macro="[0]!extract_synthese">
                <anchor moveWithCells="1">
                  <from>
                    <xdr:col>1</xdr:col>
                    <xdr:colOff>1781175</xdr:colOff>
                    <xdr:row>1</xdr:row>
                    <xdr:rowOff>85725</xdr:rowOff>
                  </from>
                  <to>
                    <xdr:col>1</xdr:col>
                    <xdr:colOff>3467100</xdr:colOff>
                    <xdr:row>2</xdr:row>
                    <xdr:rowOff>19050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_histo_stat">
    <pageSetUpPr fitToPage="1"/>
  </sheetPr>
  <dimension ref="B3:E11"/>
  <sheetViews>
    <sheetView showGridLines="0" zoomScaleNormal="100" workbookViewId="0">
      <selection activeCell="C11" sqref="C11"/>
    </sheetView>
  </sheetViews>
  <sheetFormatPr baseColWidth="10" defaultRowHeight="12.75" x14ac:dyDescent="0.2"/>
  <cols>
    <col min="2" max="2" width="19" bestFit="1" customWidth="1"/>
    <col min="3" max="5" width="18.140625" customWidth="1"/>
  </cols>
  <sheetData>
    <row r="3" spans="2:5" ht="18" x14ac:dyDescent="0.25">
      <c r="B3" s="78" t="s">
        <v>81</v>
      </c>
    </row>
    <row r="6" spans="2:5" x14ac:dyDescent="0.2">
      <c r="B6" s="75" t="s">
        <v>117</v>
      </c>
      <c r="C6" s="108" t="s">
        <v>118</v>
      </c>
      <c r="D6" s="127" t="s">
        <v>902</v>
      </c>
      <c r="E6" s="127" t="s">
        <v>1005</v>
      </c>
    </row>
    <row r="7" spans="2:5" x14ac:dyDescent="0.2">
      <c r="B7" s="9" t="s">
        <v>110</v>
      </c>
      <c r="C7" s="106">
        <f>COUNTIF('Fonctionnelle Session'!I:I,B7)+COUNTIF('Fonctionnelle Workflow'!I:I,B7)+COUNTIF('Fonctionnelle Stats'!I:I,B7)+COUNTIF('Fonctionnelle Opération'!I:I,B7)+COUNTIF(UI!I:I,B7)+COUNTIF(Organisationnelle!I:I,B7)+COUNTIF(Technique!I:I,B7)+COUNTIF(Contrainte!I:I,B7)</f>
        <v>1</v>
      </c>
      <c r="D7" s="106">
        <v>6</v>
      </c>
      <c r="E7" s="106">
        <v>0</v>
      </c>
    </row>
    <row r="8" spans="2:5" x14ac:dyDescent="0.2">
      <c r="B8" s="235" t="s">
        <v>900</v>
      </c>
      <c r="C8" s="106">
        <f>COUNTIF('Fonctionnelle Session'!I:I,B8)+COUNTIF('Fonctionnelle Workflow'!I:I,B8)+COUNTIF('Fonctionnelle Stats'!I:I,B8)+COUNTIF('Fonctionnelle Opération'!I:I,B8)+COUNTIF(UI!I:I,B8)+COUNTIF(Organisationnelle!I:I,B8)+COUNTIF(Technique!I:I,B8)+COUNTIF(Contrainte!I:I,B8)</f>
        <v>49</v>
      </c>
      <c r="D8" s="106">
        <v>344</v>
      </c>
      <c r="E8" s="106">
        <v>43</v>
      </c>
    </row>
    <row r="9" spans="2:5" x14ac:dyDescent="0.2">
      <c r="B9" s="9" t="s">
        <v>19</v>
      </c>
      <c r="C9" s="106">
        <f>COUNTIF('Fonctionnelle Session'!I:I,B9)+COUNTIF('Fonctionnelle Workflow'!I:I,B9)+COUNTIF('Fonctionnelle Stats'!I:I,B9)+COUNTIF('Fonctionnelle Opération'!I:I,B9)+COUNTIF(UI!I:I,B9)+COUNTIF(Organisationnelle!I:I,B9)+COUNTIF(Technique!I:I,B9)+COUNTIF(Contrainte!I:I,B9)</f>
        <v>293</v>
      </c>
      <c r="D9" s="106">
        <v>0</v>
      </c>
      <c r="E9" s="106">
        <v>299</v>
      </c>
    </row>
    <row r="10" spans="2:5" x14ac:dyDescent="0.2">
      <c r="B10" s="9" t="s">
        <v>20</v>
      </c>
      <c r="C10" s="106">
        <f>COUNTIF('Fonctionnelle Session'!I:I,B10)+COUNTIF('Fonctionnelle Workflow'!I:I,B10)+COUNTIF('Fonctionnelle Stats'!I:I,B10)+COUNTIF('Fonctionnelle Opération'!I:I,B10)+COUNTIF(UI!I:I,B10)+COUNTIF(Organisationnelle!I:I,B10)+COUNTIF(Technique!I:I,B10)+COUNTIF(Contrainte!I:I,B10)</f>
        <v>10</v>
      </c>
      <c r="D10" s="106">
        <v>0</v>
      </c>
      <c r="E10" s="106">
        <v>9</v>
      </c>
    </row>
    <row r="11" spans="2:5" x14ac:dyDescent="0.2">
      <c r="B11" s="77" t="s">
        <v>80</v>
      </c>
      <c r="C11" s="107">
        <f>SUM(C7:C10)</f>
        <v>353</v>
      </c>
      <c r="D11" s="107">
        <v>350</v>
      </c>
      <c r="E11" s="107">
        <v>351</v>
      </c>
    </row>
  </sheetData>
  <phoneticPr fontId="6" type="noConversion"/>
  <printOptions horizontalCentered="1" verticalCentered="1"/>
  <pageMargins left="0" right="0" top="0.35433070866141736" bottom="0.62992125984251968" header="0.31496062992125984" footer="0.15748031496062992"/>
  <pageSetup paperSize="9" orientation="landscape" horizontalDpi="300" verticalDpi="300" r:id="rId1"/>
  <headerFooter alignWithMargins="0">
    <oddHeader>&amp;L&amp;G&amp;R
&amp;F</oddHeader>
    <oddFooter>&amp;LRef_Exigences / 1.60 / mars16&amp;CInterne Orange Applications for Business&amp;R&amp;P/&amp;N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5" r:id="rId5" name="Button 5">
              <controlPr defaultSize="0" print="0" autoFill="0" autoPict="0" macro="[0]!histo">
                <anchor moveWithCells="1">
                  <from>
                    <xdr:col>1</xdr:col>
                    <xdr:colOff>152400</xdr:colOff>
                    <xdr:row>3</xdr:row>
                    <xdr:rowOff>28575</xdr:rowOff>
                  </from>
                  <to>
                    <xdr:col>3</xdr:col>
                    <xdr:colOff>971550</xdr:colOff>
                    <xdr:row>4</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_parametre"/>
  <dimension ref="A1:H6"/>
  <sheetViews>
    <sheetView workbookViewId="0">
      <selection activeCell="E10" sqref="E10"/>
    </sheetView>
  </sheetViews>
  <sheetFormatPr baseColWidth="10" defaultRowHeight="12.75" x14ac:dyDescent="0.2"/>
  <cols>
    <col min="1" max="1" width="17.42578125" customWidth="1"/>
    <col min="2" max="2" width="6.7109375" bestFit="1" customWidth="1"/>
    <col min="3" max="3" width="12" customWidth="1"/>
    <col min="4" max="4" width="20.140625" customWidth="1"/>
    <col min="5" max="5" width="19" bestFit="1" customWidth="1"/>
    <col min="6" max="6" width="15.42578125" customWidth="1"/>
    <col min="8" max="8" width="14" bestFit="1" customWidth="1"/>
  </cols>
  <sheetData>
    <row r="1" spans="1:8" ht="13.5" thickBot="1" x14ac:dyDescent="0.25">
      <c r="B1" s="2" t="s">
        <v>29</v>
      </c>
      <c r="C1" s="2" t="s">
        <v>21</v>
      </c>
      <c r="D1" s="2" t="s">
        <v>75</v>
      </c>
      <c r="E1" s="2" t="s">
        <v>22</v>
      </c>
      <c r="F1" s="2" t="s">
        <v>49</v>
      </c>
      <c r="H1" s="2" t="s">
        <v>98</v>
      </c>
    </row>
    <row r="2" spans="1:8" x14ac:dyDescent="0.2">
      <c r="A2" s="21" t="s">
        <v>23</v>
      </c>
      <c r="B2" s="22" t="s">
        <v>24</v>
      </c>
      <c r="C2" s="6" t="s">
        <v>16</v>
      </c>
      <c r="D2" s="76" t="s">
        <v>77</v>
      </c>
      <c r="E2" s="3" t="s">
        <v>110</v>
      </c>
      <c r="F2" s="60" t="s">
        <v>50</v>
      </c>
      <c r="G2" s="58" t="s">
        <v>54</v>
      </c>
      <c r="H2" s="3" t="s">
        <v>99</v>
      </c>
    </row>
    <row r="3" spans="1:8" x14ac:dyDescent="0.2">
      <c r="A3" s="21"/>
      <c r="B3" s="22"/>
      <c r="C3" s="225"/>
      <c r="D3" s="226"/>
      <c r="E3" s="230" t="s">
        <v>900</v>
      </c>
      <c r="F3" s="228"/>
      <c r="G3" s="229"/>
      <c r="H3" s="227"/>
    </row>
    <row r="4" spans="1:8" ht="13.5" thickBot="1" x14ac:dyDescent="0.25">
      <c r="A4" s="19" t="s">
        <v>6</v>
      </c>
      <c r="B4" s="20" t="s">
        <v>25</v>
      </c>
      <c r="C4" s="7" t="s">
        <v>17</v>
      </c>
      <c r="D4" s="4" t="s">
        <v>78</v>
      </c>
      <c r="E4" s="4" t="s">
        <v>19</v>
      </c>
      <c r="F4" s="61" t="s">
        <v>48</v>
      </c>
      <c r="G4" s="59" t="s">
        <v>55</v>
      </c>
      <c r="H4" s="4" t="s">
        <v>100</v>
      </c>
    </row>
    <row r="5" spans="1:8" ht="13.5" thickBot="1" x14ac:dyDescent="0.25">
      <c r="A5" s="17" t="s">
        <v>26</v>
      </c>
      <c r="B5" s="18" t="s">
        <v>27</v>
      </c>
      <c r="C5" s="8" t="s">
        <v>18</v>
      </c>
      <c r="D5" s="5" t="s">
        <v>79</v>
      </c>
      <c r="E5" s="4" t="s">
        <v>20</v>
      </c>
      <c r="H5" s="5" t="s">
        <v>101</v>
      </c>
    </row>
    <row r="6" spans="1:8" ht="13.5" thickBot="1" x14ac:dyDescent="0.25">
      <c r="A6" s="15" t="s">
        <v>7</v>
      </c>
      <c r="B6" s="16" t="s">
        <v>28</v>
      </c>
      <c r="E6" s="4"/>
    </row>
  </sheetData>
  <phoneticPr fontId="6" type="noConversion"/>
  <pageMargins left="0.78740157499999996" right="0.78740157499999996" top="0.984251969" bottom="0.984251969" header="0.4921259845" footer="0.4921259845"/>
  <pageSetup paperSize="9" scale="85" orientation="landscape" r:id="rId1"/>
  <headerFooter alignWithMargins="0">
    <oddHeader>&amp;L&amp;G&amp;R
&amp;F</oddHeader>
    <oddFooter>&amp;LRef_Exigences / 1.60 / mars16&amp;CInterne Orange Applications for Business&amp;R&amp;P/&amp;N</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_versionnig">
    <pageSetUpPr fitToPage="1"/>
  </sheetPr>
  <dimension ref="B2:E20"/>
  <sheetViews>
    <sheetView showGridLines="0" topLeftCell="A13" workbookViewId="0">
      <selection activeCell="E20" sqref="E20"/>
    </sheetView>
  </sheetViews>
  <sheetFormatPr baseColWidth="10" defaultRowHeight="12.75" x14ac:dyDescent="0.2"/>
  <cols>
    <col min="1" max="1" width="2.85546875" style="81" customWidth="1"/>
    <col min="2" max="2" width="15.140625" style="81" customWidth="1"/>
    <col min="3" max="3" width="17.5703125" style="81" customWidth="1"/>
    <col min="4" max="4" width="33.140625" style="80" customWidth="1"/>
    <col min="5" max="5" width="63.42578125" style="81" bestFit="1" customWidth="1"/>
    <col min="6" max="16384" width="11.42578125" style="81"/>
  </cols>
  <sheetData>
    <row r="2" spans="2:5" x14ac:dyDescent="0.2">
      <c r="B2" s="79"/>
      <c r="C2" s="79"/>
    </row>
    <row r="3" spans="2:5" ht="15" x14ac:dyDescent="0.2">
      <c r="B3" s="263" t="s">
        <v>82</v>
      </c>
      <c r="C3" s="263"/>
      <c r="D3" s="263"/>
      <c r="E3" s="263"/>
    </row>
    <row r="4" spans="2:5" x14ac:dyDescent="0.2">
      <c r="B4" s="82" t="s">
        <v>83</v>
      </c>
      <c r="C4" s="82" t="s">
        <v>52</v>
      </c>
      <c r="D4" s="82" t="s">
        <v>84</v>
      </c>
      <c r="E4" s="83" t="s">
        <v>53</v>
      </c>
    </row>
    <row r="5" spans="2:5" x14ac:dyDescent="0.2">
      <c r="B5" s="85" t="s">
        <v>51</v>
      </c>
      <c r="C5" s="86">
        <v>39343</v>
      </c>
      <c r="D5" s="85" t="s">
        <v>87</v>
      </c>
      <c r="E5" s="84" t="s">
        <v>86</v>
      </c>
    </row>
    <row r="6" spans="2:5" x14ac:dyDescent="0.2">
      <c r="B6" s="85" t="s">
        <v>88</v>
      </c>
      <c r="C6" s="86">
        <v>39429</v>
      </c>
      <c r="D6" s="85" t="s">
        <v>90</v>
      </c>
      <c r="E6" s="84" t="s">
        <v>89</v>
      </c>
    </row>
    <row r="7" spans="2:5" x14ac:dyDescent="0.2">
      <c r="B7" s="85" t="s">
        <v>91</v>
      </c>
      <c r="C7" s="86">
        <v>39492</v>
      </c>
      <c r="D7" s="85" t="s">
        <v>90</v>
      </c>
      <c r="E7" s="84" t="s">
        <v>92</v>
      </c>
    </row>
    <row r="8" spans="2:5" x14ac:dyDescent="0.2">
      <c r="B8" s="85" t="s">
        <v>85</v>
      </c>
      <c r="C8" s="86">
        <v>39623</v>
      </c>
      <c r="D8" s="85" t="s">
        <v>90</v>
      </c>
      <c r="E8" s="84" t="s">
        <v>93</v>
      </c>
    </row>
    <row r="9" spans="2:5" x14ac:dyDescent="0.2">
      <c r="B9" s="85" t="s">
        <v>66</v>
      </c>
      <c r="C9" s="86">
        <v>39832</v>
      </c>
      <c r="D9" s="85" t="s">
        <v>90</v>
      </c>
      <c r="E9" s="84" t="s">
        <v>94</v>
      </c>
    </row>
    <row r="10" spans="2:5" ht="89.25" x14ac:dyDescent="0.2">
      <c r="B10" s="85" t="s">
        <v>105</v>
      </c>
      <c r="C10" s="86">
        <v>39902</v>
      </c>
      <c r="D10" s="85" t="s">
        <v>90</v>
      </c>
      <c r="E10" s="100" t="s">
        <v>106</v>
      </c>
    </row>
    <row r="11" spans="2:5" ht="25.5" x14ac:dyDescent="0.2">
      <c r="B11" s="85" t="s">
        <v>107</v>
      </c>
      <c r="C11" s="86">
        <v>39972</v>
      </c>
      <c r="D11" s="85" t="s">
        <v>90</v>
      </c>
      <c r="E11" s="111" t="s">
        <v>134</v>
      </c>
    </row>
    <row r="12" spans="2:5" ht="25.5" x14ac:dyDescent="0.2">
      <c r="B12" s="85" t="s">
        <v>108</v>
      </c>
      <c r="C12" s="86">
        <v>40337</v>
      </c>
      <c r="D12" s="85" t="s">
        <v>109</v>
      </c>
      <c r="E12" s="111" t="s">
        <v>135</v>
      </c>
    </row>
    <row r="13" spans="2:5" ht="76.5" x14ac:dyDescent="0.2">
      <c r="B13" s="85" t="s">
        <v>112</v>
      </c>
      <c r="C13" s="86">
        <v>40442</v>
      </c>
      <c r="D13" s="85" t="s">
        <v>109</v>
      </c>
      <c r="E13" s="100" t="s">
        <v>119</v>
      </c>
    </row>
    <row r="14" spans="2:5" x14ac:dyDescent="0.2">
      <c r="B14" s="85" t="s">
        <v>120</v>
      </c>
      <c r="C14" s="86">
        <v>40590</v>
      </c>
      <c r="D14" s="85" t="s">
        <v>121</v>
      </c>
      <c r="E14" s="111" t="s">
        <v>122</v>
      </c>
    </row>
    <row r="15" spans="2:5" ht="25.5" x14ac:dyDescent="0.2">
      <c r="B15" s="85" t="s">
        <v>124</v>
      </c>
      <c r="C15" s="86">
        <v>40632</v>
      </c>
      <c r="D15" s="85" t="s">
        <v>121</v>
      </c>
      <c r="E15" s="100" t="s">
        <v>125</v>
      </c>
    </row>
    <row r="16" spans="2:5" ht="63.75" x14ac:dyDescent="0.2">
      <c r="B16" s="85" t="s">
        <v>128</v>
      </c>
      <c r="C16" s="114">
        <v>40700</v>
      </c>
      <c r="D16" s="85" t="s">
        <v>121</v>
      </c>
      <c r="E16" s="111" t="s">
        <v>136</v>
      </c>
    </row>
    <row r="17" spans="2:5" ht="38.25" x14ac:dyDescent="0.2">
      <c r="B17" s="85" t="s">
        <v>137</v>
      </c>
      <c r="C17" s="114">
        <v>41325</v>
      </c>
      <c r="D17" s="85" t="s">
        <v>138</v>
      </c>
      <c r="E17" s="111" t="s">
        <v>139</v>
      </c>
    </row>
    <row r="18" spans="2:5" x14ac:dyDescent="0.2">
      <c r="B18" s="85" t="s">
        <v>140</v>
      </c>
      <c r="C18" s="114">
        <v>41887</v>
      </c>
      <c r="D18" s="85" t="s">
        <v>141</v>
      </c>
      <c r="E18" s="111" t="s">
        <v>142</v>
      </c>
    </row>
    <row r="19" spans="2:5" ht="25.5" x14ac:dyDescent="0.2">
      <c r="B19" s="85" t="s">
        <v>147</v>
      </c>
      <c r="C19" s="114">
        <v>42332</v>
      </c>
      <c r="D19" s="85" t="s">
        <v>141</v>
      </c>
      <c r="E19" s="123" t="s">
        <v>148</v>
      </c>
    </row>
    <row r="20" spans="2:5" x14ac:dyDescent="0.2">
      <c r="B20" s="85" t="s">
        <v>152</v>
      </c>
      <c r="C20" s="114">
        <v>42444</v>
      </c>
      <c r="D20" s="85" t="s">
        <v>141</v>
      </c>
      <c r="E20" s="123" t="s">
        <v>153</v>
      </c>
    </row>
  </sheetData>
  <mergeCells count="1">
    <mergeCell ref="B3:E3"/>
  </mergeCells>
  <phoneticPr fontId="10" type="noConversion"/>
  <pageMargins left="0.78740157480314965" right="0.39370078740157483" top="0.36" bottom="0.63" header="0.31496062992125984" footer="0.17"/>
  <pageSetup paperSize="9" scale="69" firstPageNumber="0" orientation="portrait" horizontalDpi="300" verticalDpi="300" r:id="rId1"/>
  <headerFooter alignWithMargins="0">
    <oddHeader>&amp;L&amp;G&amp;R
&amp;F</oddHeader>
    <oddFooter>&amp;LRef_Exigences / 1.60 / mars16&amp;CInterne Orange Applications for Business&amp;R&amp;P/&amp;N</oddFooter>
  </headerFooter>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4EBAAEC775B44478D2690DC00EAAD8D" ma:contentTypeVersion="" ma:contentTypeDescription="Crée un document." ma:contentTypeScope="" ma:versionID="4f9888ba2be5403e4dfd748fc90492b4">
  <xsd:schema xmlns:xsd="http://www.w3.org/2001/XMLSchema" xmlns:xs="http://www.w3.org/2001/XMLSchema" xmlns:p="http://schemas.microsoft.com/office/2006/metadata/properties" targetNamespace="http://schemas.microsoft.com/office/2006/metadata/properties" ma:root="true" ma:fieldsID="2fe88fd3cce7a27a3feecc1959e645ee">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715C49E-460E-4B68-BF3A-A6E6D9D3B4E2}">
  <ds:schemaRefs>
    <ds:schemaRef ds:uri="http://schemas.microsoft.com/office/2006/metadata/longProperties"/>
  </ds:schemaRefs>
</ds:datastoreItem>
</file>

<file path=customXml/itemProps2.xml><?xml version="1.0" encoding="utf-8"?>
<ds:datastoreItem xmlns:ds="http://schemas.openxmlformats.org/officeDocument/2006/customXml" ds:itemID="{0FA065F7-633D-41AC-9111-FC87DD1C06D2}">
  <ds:schemaRefs>
    <ds:schemaRef ds:uri="http://schemas.microsoft.com/sharepoint/v3/contenttype/forms"/>
  </ds:schemaRefs>
</ds:datastoreItem>
</file>

<file path=customXml/itemProps3.xml><?xml version="1.0" encoding="utf-8"?>
<ds:datastoreItem xmlns:ds="http://schemas.openxmlformats.org/officeDocument/2006/customXml" ds:itemID="{86A5F1D7-9ED8-4C2A-B0E2-FD5F5284A3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F1771F84-FEA5-4E57-9CBA-56F46D3A89EF}">
  <ds:schemaRefs>
    <ds:schemaRef ds:uri="http://purl.org/dc/elements/1.1/"/>
    <ds:schemaRef ds:uri="http://schemas.openxmlformats.org/package/2006/metadata/core-properties"/>
    <ds:schemaRef ds:uri="http://www.w3.org/XML/1998/namespace"/>
    <ds:schemaRef ds:uri="http://schemas.microsoft.com/office/infopath/2007/PartnerControls"/>
    <ds:schemaRef ds:uri="http://purl.org/dc/terms/"/>
    <ds:schemaRef ds:uri="http://schemas.microsoft.com/office/2006/documentManagement/types"/>
    <ds:schemaRef ds:uri="http://purl.org/dc/dcmitype/"/>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77</vt:i4>
      </vt:variant>
    </vt:vector>
  </HeadingPairs>
  <TitlesOfParts>
    <vt:vector size="92" baseType="lpstr">
      <vt:lpstr>Read me</vt:lpstr>
      <vt:lpstr>Prop_Ref</vt:lpstr>
      <vt:lpstr>Organisationnelle</vt:lpstr>
      <vt:lpstr>Fonctionnelle Session</vt:lpstr>
      <vt:lpstr>Fonctionnelle Workflow</vt:lpstr>
      <vt:lpstr>Fonctionnelle Stats</vt:lpstr>
      <vt:lpstr>Fonctionnelle Opération</vt:lpstr>
      <vt:lpstr>Fonctionnelle Ticketing</vt:lpstr>
      <vt:lpstr>UI</vt:lpstr>
      <vt:lpstr>Technique</vt:lpstr>
      <vt:lpstr>Contrainte</vt:lpstr>
      <vt:lpstr>Synthèse</vt:lpstr>
      <vt:lpstr>Historique Statistiques </vt:lpstr>
      <vt:lpstr>Paramètres</vt:lpstr>
      <vt:lpstr>Historique du modèle</vt:lpstr>
      <vt:lpstr>Atraiter</vt:lpstr>
      <vt:lpstr>Contrainte!cdc_exig</vt:lpstr>
      <vt:lpstr>'Fonctionnelle Opération'!cdc_exig</vt:lpstr>
      <vt:lpstr>'Fonctionnelle Session'!cdc_exig</vt:lpstr>
      <vt:lpstr>'Fonctionnelle Stats'!cdc_exig</vt:lpstr>
      <vt:lpstr>'Fonctionnelle Ticketing'!cdc_exig</vt:lpstr>
      <vt:lpstr>'Fonctionnelle Workflow'!cdc_exig</vt:lpstr>
      <vt:lpstr>Organisationnelle!cdc_exig</vt:lpstr>
      <vt:lpstr>Technique!cdc_exig</vt:lpstr>
      <vt:lpstr>Contrainte!conf_exig</vt:lpstr>
      <vt:lpstr>'Fonctionnelle Opération'!conf_exig</vt:lpstr>
      <vt:lpstr>'Fonctionnelle Session'!conf_exig</vt:lpstr>
      <vt:lpstr>'Fonctionnelle Stats'!conf_exig</vt:lpstr>
      <vt:lpstr>'Fonctionnelle Ticketing'!conf_exig</vt:lpstr>
      <vt:lpstr>'Fonctionnelle Workflow'!conf_exig</vt:lpstr>
      <vt:lpstr>Organisationnelle!conf_exig</vt:lpstr>
      <vt:lpstr>Technique!conf_exig</vt:lpstr>
      <vt:lpstr>Conformité</vt:lpstr>
      <vt:lpstr>copy_cell</vt:lpstr>
      <vt:lpstr>copy_row</vt:lpstr>
      <vt:lpstr>deb_tb</vt:lpstr>
      <vt:lpstr>Etape</vt:lpstr>
      <vt:lpstr>Etat</vt:lpstr>
      <vt:lpstr>Contrainte!id_exig</vt:lpstr>
      <vt:lpstr>'Fonctionnelle Opération'!id_exig</vt:lpstr>
      <vt:lpstr>'Fonctionnelle Session'!id_exig</vt:lpstr>
      <vt:lpstr>'Fonctionnelle Stats'!id_exig</vt:lpstr>
      <vt:lpstr>'Fonctionnelle Ticketing'!id_exig</vt:lpstr>
      <vt:lpstr>'Fonctionnelle Workflow'!id_exig</vt:lpstr>
      <vt:lpstr>Organisationnelle!id_exig</vt:lpstr>
      <vt:lpstr>Technique!id_exig</vt:lpstr>
      <vt:lpstr>Contrainte!just_exig</vt:lpstr>
      <vt:lpstr>'Fonctionnelle Opération'!just_exig</vt:lpstr>
      <vt:lpstr>'Fonctionnelle Session'!just_exig</vt:lpstr>
      <vt:lpstr>'Fonctionnelle Stats'!just_exig</vt:lpstr>
      <vt:lpstr>'Fonctionnelle Ticketing'!just_exig</vt:lpstr>
      <vt:lpstr>'Fonctionnelle Workflow'!just_exig</vt:lpstr>
      <vt:lpstr>Organisationnelle!just_exig</vt:lpstr>
      <vt:lpstr>Technique!just_exig</vt:lpstr>
      <vt:lpstr>Contrainte!lib_exig</vt:lpstr>
      <vt:lpstr>'Fonctionnelle Opération'!lib_exig</vt:lpstr>
      <vt:lpstr>'Fonctionnelle Session'!lib_exig</vt:lpstr>
      <vt:lpstr>'Fonctionnelle Stats'!lib_exig</vt:lpstr>
      <vt:lpstr>'Fonctionnelle Ticketing'!lib_exig</vt:lpstr>
      <vt:lpstr>'Fonctionnelle Workflow'!lib_exig</vt:lpstr>
      <vt:lpstr>Organisationnelle!lib_exig</vt:lpstr>
      <vt:lpstr>Technique!lib_exig</vt:lpstr>
      <vt:lpstr>Priorité</vt:lpstr>
      <vt:lpstr>Contrainte!ptc_exig</vt:lpstr>
      <vt:lpstr>'Fonctionnelle Opération'!ptc_exig</vt:lpstr>
      <vt:lpstr>'Fonctionnelle Session'!ptc_exig</vt:lpstr>
      <vt:lpstr>'Fonctionnelle Stats'!ptc_exig</vt:lpstr>
      <vt:lpstr>'Fonctionnelle Ticketing'!ptc_exig</vt:lpstr>
      <vt:lpstr>'Fonctionnelle Workflow'!ptc_exig</vt:lpstr>
      <vt:lpstr>Organisationnelle!ptc_exig</vt:lpstr>
      <vt:lpstr>Technique!ptc_exig</vt:lpstr>
      <vt:lpstr>Statut</vt:lpstr>
      <vt:lpstr>syn_cdc_exig</vt:lpstr>
      <vt:lpstr>syn_conf_exig</vt:lpstr>
      <vt:lpstr>syn_id_exig</vt:lpstr>
      <vt:lpstr>syn_just_exig</vt:lpstr>
      <vt:lpstr>syn_lib_exig</vt:lpstr>
      <vt:lpstr>syn_ptc_exig</vt:lpstr>
      <vt:lpstr>Type</vt:lpstr>
      <vt:lpstr>Validation</vt:lpstr>
      <vt:lpstr>Contrainte!Zone_d_impression</vt:lpstr>
      <vt:lpstr>'Fonctionnelle Opération'!Zone_d_impression</vt:lpstr>
      <vt:lpstr>'Fonctionnelle Session'!Zone_d_impression</vt:lpstr>
      <vt:lpstr>'Fonctionnelle Stats'!Zone_d_impression</vt:lpstr>
      <vt:lpstr>'Fonctionnelle Ticketing'!Zone_d_impression</vt:lpstr>
      <vt:lpstr>'Fonctionnelle Workflow'!Zone_d_impression</vt:lpstr>
      <vt:lpstr>Organisationnelle!Zone_d_impression</vt:lpstr>
      <vt:lpstr>Prop_Ref!Zone_d_impression</vt:lpstr>
      <vt:lpstr>'Read me'!Zone_d_impression</vt:lpstr>
      <vt:lpstr>Synthèse!Zone_d_impression</vt:lpstr>
      <vt:lpstr>Technique!Zone_d_impression</vt:lpstr>
      <vt:lpstr>UI!Zone_d_impression</vt:lpstr>
    </vt:vector>
  </TitlesOfParts>
  <Company>Orange Business Services Silicomp-AQL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Modele de referentiel des exigences</dc:title>
  <dc:creator>Christian Chesnel</dc:creator>
  <cp:lastModifiedBy>BRUNET CARTEAUX Marie</cp:lastModifiedBy>
  <cp:lastPrinted>2013-02-20T11:00:54Z</cp:lastPrinted>
  <dcterms:created xsi:type="dcterms:W3CDTF">2007-07-23T09:42:18Z</dcterms:created>
  <dcterms:modified xsi:type="dcterms:W3CDTF">2018-04-10T13:27:53Z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rder">
    <vt:lpwstr>24300.0000000000</vt:lpwstr>
  </property>
  <property fmtid="{D5CDD505-2E9C-101B-9397-08002B2CF9AE}" pid="3" name="Sous Processus">
    <vt:lpwstr>je maitrise les exigences</vt:lpwstr>
  </property>
  <property fmtid="{D5CDD505-2E9C-101B-9397-08002B2CF9AE}" pid="4" name="ContentTypeId">
    <vt:lpwstr>0x010100A4EBAAEC775B44478D2690DC00EAAD8D</vt:lpwstr>
  </property>
</Properties>
</file>